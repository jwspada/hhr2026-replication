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spada_stanford_edu/Documents/Desktop/tcja_project/tcja/data/downloads/"/>
    </mc:Choice>
  </mc:AlternateContent>
  <xr:revisionPtr revIDLastSave="7" documentId="11_12ECB0016903D0B391701AE1003C2210D89C616B" xr6:coauthVersionLast="47" xr6:coauthVersionMax="47" xr10:uidLastSave="{7EBAB431-5931-4C69-8981-54DF8784AAFD}"/>
  <bookViews>
    <workbookView xWindow="28695" yWindow="-8460" windowWidth="26010" windowHeight="20985" activeTab="2" xr2:uid="{00000000-000D-0000-FFFF-FFFF00000000}"/>
  </bookViews>
  <sheets>
    <sheet name="README" sheetId="1" r:id="rId1"/>
    <sheet name="Annua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2" i="3"/>
</calcChain>
</file>

<file path=xl/sharedStrings.xml><?xml version="1.0" encoding="utf-8"?>
<sst xmlns="http://schemas.openxmlformats.org/spreadsheetml/2006/main" count="85" uniqueCount="84">
  <si>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</si>
  <si>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</si>
  <si>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</si>
  <si>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</si>
  <si>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</si>
  <si>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2025-01-08 1:20 pm CST</t>
  </si>
  <si>
    <t>BAA</t>
  </si>
  <si>
    <t>Moody's Seasoned Baa Corporate Bond Yield, Percent, Annual, Not Seasonally Adjusted</t>
  </si>
  <si>
    <t>Data Updated: 2025-01-02</t>
  </si>
  <si>
    <t>observation_date</t>
  </si>
  <si>
    <t>1953-01-01</t>
  </si>
  <si>
    <t>1954-01-01</t>
  </si>
  <si>
    <t>1955-01-01</t>
  </si>
  <si>
    <t>1956-01-01</t>
  </si>
  <si>
    <t>1957-01-01</t>
  </si>
  <si>
    <t>1958-01-01</t>
  </si>
  <si>
    <t>1959-01-01</t>
  </si>
  <si>
    <t>1960-01-01</t>
  </si>
  <si>
    <t>1961-01-01</t>
  </si>
  <si>
    <t>1962-01-01</t>
  </si>
  <si>
    <t>1963-01-01</t>
  </si>
  <si>
    <t>1964-01-01</t>
  </si>
  <si>
    <t>1965-01-01</t>
  </si>
  <si>
    <t>1966-01-01</t>
  </si>
  <si>
    <t>1967-01-01</t>
  </si>
  <si>
    <t>1968-01-01</t>
  </si>
  <si>
    <t>1969-01-01</t>
  </si>
  <si>
    <t>1970-01-01</t>
  </si>
  <si>
    <t>1971-01-01</t>
  </si>
  <si>
    <t>1972-01-01</t>
  </si>
  <si>
    <t>1973-01-01</t>
  </si>
  <si>
    <t>1974-01-01</t>
  </si>
  <si>
    <t>1975-01-01</t>
  </si>
  <si>
    <t>1976-01-01</t>
  </si>
  <si>
    <t>1977-01-01</t>
  </si>
  <si>
    <t>1978-01-01</t>
  </si>
  <si>
    <t>1979-01-01</t>
  </si>
  <si>
    <t>1980-01-01</t>
  </si>
  <si>
    <t>1981-01-01</t>
  </si>
  <si>
    <t>1982-01-01</t>
  </si>
  <si>
    <t>1983-01-01</t>
  </si>
  <si>
    <t>1984-01-01</t>
  </si>
  <si>
    <t>1985-01-01</t>
  </si>
  <si>
    <t>1986-01-01</t>
  </si>
  <si>
    <t>1987-01-01</t>
  </si>
  <si>
    <t>1988-01-01</t>
  </si>
  <si>
    <t>1989-01-01</t>
  </si>
  <si>
    <t>1990-01-01</t>
  </si>
  <si>
    <t>1991-01-01</t>
  </si>
  <si>
    <t>1992-01-01</t>
  </si>
  <si>
    <t>1993-01-01</t>
  </si>
  <si>
    <t>1994-01-01</t>
  </si>
  <si>
    <t>1995-01-01</t>
  </si>
  <si>
    <t>1996-01-01</t>
  </si>
  <si>
    <t>1997-01-01</t>
  </si>
  <si>
    <t>1998-01-01</t>
  </si>
  <si>
    <t>1999-01-01</t>
  </si>
  <si>
    <t>2000-01-01</t>
  </si>
  <si>
    <t>2001-01-01</t>
  </si>
  <si>
    <t>2002-01-01</t>
  </si>
  <si>
    <t>2003-01-01</t>
  </si>
  <si>
    <t>2004-01-01</t>
  </si>
  <si>
    <t>2005-01-01</t>
  </si>
  <si>
    <t>2006-01-01</t>
  </si>
  <si>
    <t>2007-01-01</t>
  </si>
  <si>
    <t>2008-01-01</t>
  </si>
  <si>
    <t>2009-01-01</t>
  </si>
  <si>
    <t>2010-01-01</t>
  </si>
  <si>
    <t>2011-01-01</t>
  </si>
  <si>
    <t>2012-01-01</t>
  </si>
  <si>
    <t>2013-01-01</t>
  </si>
  <si>
    <t>2014-01-01</t>
  </si>
  <si>
    <t>2015-01-01</t>
  </si>
  <si>
    <t>2016-01-01</t>
  </si>
  <si>
    <t>2017-01-01</t>
  </si>
  <si>
    <t>2018-01-01</t>
  </si>
  <si>
    <t>2019-01-01</t>
  </si>
  <si>
    <t>2020-01-01</t>
  </si>
  <si>
    <t>2021-01-01</t>
  </si>
  <si>
    <t>2022-01-01</t>
  </si>
  <si>
    <t>2023-01-01</t>
  </si>
  <si>
    <t>2024-01-01</t>
  </si>
  <si>
    <t>year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</si>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</sst>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cols>
    <col min="1" max="1" width="85.7265625" style="1" customWidth="1"/>
    <col min="2" max="2" width="77.8164062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3"/>
  <sheetViews>
    <sheetView workbookViewId="0"/>
  </sheetViews>
  <sheetFormatPr defaultRowHeight="14.5" x14ac:dyDescent="0.35"/>
  <cols>
    <col min="1" max="1" width="16.54296875" bestFit="1" customWidth="1"/>
    <col min="2" max="2" width="6" style="2" bestFit="1" customWidth="1"/>
  </cols>
  <sheetData>
    <row r="1" spans="1:2" x14ac:dyDescent="0.35">
      <c r="A1" s="3" t="s">
        <v>9</v>
      </c>
      <c r="B1" s="3" t="s">
        <v>6</v>
      </c>
    </row>
    <row r="2" spans="1:2" x14ac:dyDescent="0.35">
      <c r="A2" t="s">
        <v>10</v>
      </c>
      <c r="B2" s="2">
        <v>3.73</v>
      </c>
    </row>
    <row r="3" spans="1:2" x14ac:dyDescent="0.35">
      <c r="A3" t="s">
        <v>11</v>
      </c>
      <c r="B3" s="2">
        <v>3.51</v>
      </c>
    </row>
    <row r="4" spans="1:2" x14ac:dyDescent="0.35">
      <c r="A4" t="s">
        <v>12</v>
      </c>
      <c r="B4" s="2">
        <v>3.53</v>
      </c>
    </row>
    <row r="5" spans="1:2" x14ac:dyDescent="0.35">
      <c r="A5" t="s">
        <v>13</v>
      </c>
      <c r="B5" s="2">
        <v>3.88</v>
      </c>
    </row>
    <row r="6" spans="1:2" x14ac:dyDescent="0.35">
      <c r="A6" t="s">
        <v>14</v>
      </c>
      <c r="B6" s="2">
        <v>4.71</v>
      </c>
    </row>
    <row r="7" spans="1:2" x14ac:dyDescent="0.35">
      <c r="A7" t="s">
        <v>15</v>
      </c>
      <c r="B7" s="2">
        <v>4.7300000000000004</v>
      </c>
    </row>
    <row r="8" spans="1:2" x14ac:dyDescent="0.35">
      <c r="A8" t="s">
        <v>16</v>
      </c>
      <c r="B8" s="2">
        <v>5.05</v>
      </c>
    </row>
    <row r="9" spans="1:2" x14ac:dyDescent="0.35">
      <c r="A9" t="s">
        <v>17</v>
      </c>
      <c r="B9" s="2">
        <v>5.19</v>
      </c>
    </row>
    <row r="10" spans="1:2" x14ac:dyDescent="0.35">
      <c r="A10" t="s">
        <v>18</v>
      </c>
      <c r="B10" s="2">
        <v>5.08</v>
      </c>
    </row>
    <row r="11" spans="1:2" x14ac:dyDescent="0.35">
      <c r="A11" t="s">
        <v>19</v>
      </c>
      <c r="B11" s="2">
        <v>5.0199999999999996</v>
      </c>
    </row>
    <row r="12" spans="1:2" x14ac:dyDescent="0.35">
      <c r="A12" t="s">
        <v>20</v>
      </c>
      <c r="B12" s="2">
        <v>4.8600000000000003</v>
      </c>
    </row>
    <row r="13" spans="1:2" x14ac:dyDescent="0.35">
      <c r="A13" t="s">
        <v>21</v>
      </c>
      <c r="B13" s="2">
        <v>4.83</v>
      </c>
    </row>
    <row r="14" spans="1:2" x14ac:dyDescent="0.35">
      <c r="A14" t="s">
        <v>22</v>
      </c>
      <c r="B14" s="2">
        <v>4.87</v>
      </c>
    </row>
    <row r="15" spans="1:2" x14ac:dyDescent="0.35">
      <c r="A15" t="s">
        <v>23</v>
      </c>
      <c r="B15" s="2">
        <v>5.67</v>
      </c>
    </row>
    <row r="16" spans="1:2" x14ac:dyDescent="0.35">
      <c r="A16" t="s">
        <v>24</v>
      </c>
      <c r="B16" s="2">
        <v>6.23</v>
      </c>
    </row>
    <row r="17" spans="1:2" x14ac:dyDescent="0.35">
      <c r="A17" t="s">
        <v>25</v>
      </c>
      <c r="B17" s="2">
        <v>6.94</v>
      </c>
    </row>
    <row r="18" spans="1:2" x14ac:dyDescent="0.35">
      <c r="A18" t="s">
        <v>26</v>
      </c>
      <c r="B18" s="2">
        <v>7.81</v>
      </c>
    </row>
    <row r="19" spans="1:2" x14ac:dyDescent="0.35">
      <c r="A19" t="s">
        <v>27</v>
      </c>
      <c r="B19" s="2">
        <v>9.11</v>
      </c>
    </row>
    <row r="20" spans="1:2" x14ac:dyDescent="0.35">
      <c r="A20" t="s">
        <v>28</v>
      </c>
      <c r="B20" s="2">
        <v>8.56</v>
      </c>
    </row>
    <row r="21" spans="1:2" x14ac:dyDescent="0.35">
      <c r="A21" t="s">
        <v>29</v>
      </c>
      <c r="B21" s="2">
        <v>8.16</v>
      </c>
    </row>
    <row r="22" spans="1:2" x14ac:dyDescent="0.35">
      <c r="A22" t="s">
        <v>30</v>
      </c>
      <c r="B22" s="2">
        <v>8.24</v>
      </c>
    </row>
    <row r="23" spans="1:2" x14ac:dyDescent="0.35">
      <c r="A23" t="s">
        <v>31</v>
      </c>
      <c r="B23" s="2">
        <v>9.5</v>
      </c>
    </row>
    <row r="24" spans="1:2" x14ac:dyDescent="0.35">
      <c r="A24" t="s">
        <v>32</v>
      </c>
      <c r="B24" s="2">
        <v>10.61</v>
      </c>
    </row>
    <row r="25" spans="1:2" x14ac:dyDescent="0.35">
      <c r="A25" t="s">
        <v>33</v>
      </c>
      <c r="B25" s="2">
        <v>9.75</v>
      </c>
    </row>
    <row r="26" spans="1:2" x14ac:dyDescent="0.35">
      <c r="A26" t="s">
        <v>34</v>
      </c>
      <c r="B26" s="2">
        <v>8.9700000000000006</v>
      </c>
    </row>
    <row r="27" spans="1:2" x14ac:dyDescent="0.35">
      <c r="A27" t="s">
        <v>35</v>
      </c>
      <c r="B27" s="2">
        <v>9.49</v>
      </c>
    </row>
    <row r="28" spans="1:2" x14ac:dyDescent="0.35">
      <c r="A28" t="s">
        <v>36</v>
      </c>
      <c r="B28" s="2">
        <v>10.69</v>
      </c>
    </row>
    <row r="29" spans="1:2" x14ac:dyDescent="0.35">
      <c r="A29" t="s">
        <v>37</v>
      </c>
      <c r="B29" s="2">
        <v>13.67</v>
      </c>
    </row>
    <row r="30" spans="1:2" x14ac:dyDescent="0.35">
      <c r="A30" t="s">
        <v>38</v>
      </c>
      <c r="B30" s="2">
        <v>16.04</v>
      </c>
    </row>
    <row r="31" spans="1:2" x14ac:dyDescent="0.35">
      <c r="A31" t="s">
        <v>39</v>
      </c>
      <c r="B31" s="2">
        <v>16.11</v>
      </c>
    </row>
    <row r="32" spans="1:2" x14ac:dyDescent="0.35">
      <c r="A32" t="s">
        <v>40</v>
      </c>
      <c r="B32" s="2">
        <v>13.55</v>
      </c>
    </row>
    <row r="33" spans="1:2" x14ac:dyDescent="0.35">
      <c r="A33" t="s">
        <v>41</v>
      </c>
      <c r="B33" s="2">
        <v>14.19</v>
      </c>
    </row>
    <row r="34" spans="1:2" x14ac:dyDescent="0.35">
      <c r="A34" t="s">
        <v>42</v>
      </c>
      <c r="B34" s="2">
        <v>12.72</v>
      </c>
    </row>
    <row r="35" spans="1:2" x14ac:dyDescent="0.35">
      <c r="A35" t="s">
        <v>43</v>
      </c>
      <c r="B35" s="2">
        <v>10.39</v>
      </c>
    </row>
    <row r="36" spans="1:2" x14ac:dyDescent="0.35">
      <c r="A36" t="s">
        <v>44</v>
      </c>
      <c r="B36" s="2">
        <v>10.58</v>
      </c>
    </row>
    <row r="37" spans="1:2" x14ac:dyDescent="0.35">
      <c r="A37" t="s">
        <v>45</v>
      </c>
      <c r="B37" s="2">
        <v>10.83</v>
      </c>
    </row>
    <row r="38" spans="1:2" x14ac:dyDescent="0.35">
      <c r="A38" t="s">
        <v>46</v>
      </c>
      <c r="B38" s="2">
        <v>10.18</v>
      </c>
    </row>
    <row r="39" spans="1:2" x14ac:dyDescent="0.35">
      <c r="A39" t="s">
        <v>47</v>
      </c>
      <c r="B39" s="2">
        <v>10.36</v>
      </c>
    </row>
    <row r="40" spans="1:2" x14ac:dyDescent="0.35">
      <c r="A40" t="s">
        <v>48</v>
      </c>
      <c r="B40" s="2">
        <v>9.8000000000000007</v>
      </c>
    </row>
    <row r="41" spans="1:2" x14ac:dyDescent="0.35">
      <c r="A41" t="s">
        <v>49</v>
      </c>
      <c r="B41" s="2">
        <v>8.98</v>
      </c>
    </row>
    <row r="42" spans="1:2" x14ac:dyDescent="0.35">
      <c r="A42" t="s">
        <v>50</v>
      </c>
      <c r="B42" s="2">
        <v>7.93</v>
      </c>
    </row>
    <row r="43" spans="1:2" x14ac:dyDescent="0.35">
      <c r="A43" t="s">
        <v>51</v>
      </c>
      <c r="B43" s="2">
        <v>8.6199999999999992</v>
      </c>
    </row>
    <row r="44" spans="1:2" x14ac:dyDescent="0.35">
      <c r="A44" t="s">
        <v>52</v>
      </c>
      <c r="B44" s="2">
        <v>8.1999999999999993</v>
      </c>
    </row>
    <row r="45" spans="1:2" x14ac:dyDescent="0.35">
      <c r="A45" t="s">
        <v>53</v>
      </c>
      <c r="B45" s="2">
        <v>8.0500000000000007</v>
      </c>
    </row>
    <row r="46" spans="1:2" x14ac:dyDescent="0.35">
      <c r="A46" t="s">
        <v>54</v>
      </c>
      <c r="B46" s="2">
        <v>7.86</v>
      </c>
    </row>
    <row r="47" spans="1:2" x14ac:dyDescent="0.35">
      <c r="A47" t="s">
        <v>55</v>
      </c>
      <c r="B47" s="2">
        <v>7.22</v>
      </c>
    </row>
    <row r="48" spans="1:2" x14ac:dyDescent="0.35">
      <c r="A48" t="s">
        <v>56</v>
      </c>
      <c r="B48" s="2">
        <v>7.87</v>
      </c>
    </row>
    <row r="49" spans="1:2" x14ac:dyDescent="0.35">
      <c r="A49" t="s">
        <v>57</v>
      </c>
      <c r="B49" s="2">
        <v>8.36</v>
      </c>
    </row>
    <row r="50" spans="1:2" x14ac:dyDescent="0.35">
      <c r="A50" t="s">
        <v>58</v>
      </c>
      <c r="B50" s="2">
        <v>7.95</v>
      </c>
    </row>
    <row r="51" spans="1:2" x14ac:dyDescent="0.35">
      <c r="A51" t="s">
        <v>59</v>
      </c>
      <c r="B51" s="2">
        <v>7.8</v>
      </c>
    </row>
    <row r="52" spans="1:2" x14ac:dyDescent="0.35">
      <c r="A52" t="s">
        <v>60</v>
      </c>
      <c r="B52" s="2">
        <v>6.77</v>
      </c>
    </row>
    <row r="53" spans="1:2" x14ac:dyDescent="0.35">
      <c r="A53" t="s">
        <v>61</v>
      </c>
      <c r="B53" s="2">
        <v>6.39</v>
      </c>
    </row>
    <row r="54" spans="1:2" x14ac:dyDescent="0.35">
      <c r="A54" t="s">
        <v>62</v>
      </c>
      <c r="B54" s="2">
        <v>6.06</v>
      </c>
    </row>
    <row r="55" spans="1:2" x14ac:dyDescent="0.35">
      <c r="A55" t="s">
        <v>63</v>
      </c>
      <c r="B55" s="2">
        <v>6.48</v>
      </c>
    </row>
    <row r="56" spans="1:2" x14ac:dyDescent="0.35">
      <c r="A56" t="s">
        <v>64</v>
      </c>
      <c r="B56" s="2">
        <v>6.48</v>
      </c>
    </row>
    <row r="57" spans="1:2" x14ac:dyDescent="0.35">
      <c r="A57" t="s">
        <v>65</v>
      </c>
      <c r="B57" s="2">
        <v>7.45</v>
      </c>
    </row>
    <row r="58" spans="1:2" x14ac:dyDescent="0.35">
      <c r="A58" t="s">
        <v>66</v>
      </c>
      <c r="B58" s="2">
        <v>7.3</v>
      </c>
    </row>
    <row r="59" spans="1:2" x14ac:dyDescent="0.35">
      <c r="A59" t="s">
        <v>67</v>
      </c>
      <c r="B59" s="2">
        <v>6.04</v>
      </c>
    </row>
    <row r="60" spans="1:2" x14ac:dyDescent="0.35">
      <c r="A60" t="s">
        <v>68</v>
      </c>
      <c r="B60" s="2">
        <v>5.66</v>
      </c>
    </row>
    <row r="61" spans="1:2" x14ac:dyDescent="0.35">
      <c r="A61" t="s">
        <v>69</v>
      </c>
      <c r="B61" s="2">
        <v>4.9400000000000004</v>
      </c>
    </row>
    <row r="62" spans="1:2" x14ac:dyDescent="0.35">
      <c r="A62" t="s">
        <v>70</v>
      </c>
      <c r="B62" s="2">
        <v>5.0999999999999996</v>
      </c>
    </row>
    <row r="63" spans="1:2" x14ac:dyDescent="0.35">
      <c r="A63" t="s">
        <v>71</v>
      </c>
      <c r="B63" s="2">
        <v>4.8499999999999996</v>
      </c>
    </row>
    <row r="64" spans="1:2" x14ac:dyDescent="0.35">
      <c r="A64" t="s">
        <v>72</v>
      </c>
      <c r="B64" s="2">
        <v>5</v>
      </c>
    </row>
    <row r="65" spans="1:2" x14ac:dyDescent="0.35">
      <c r="A65" t="s">
        <v>73</v>
      </c>
      <c r="B65" s="2">
        <v>4.72</v>
      </c>
    </row>
    <row r="66" spans="1:2" x14ac:dyDescent="0.35">
      <c r="A66" t="s">
        <v>74</v>
      </c>
      <c r="B66" s="2">
        <v>4.4400000000000004</v>
      </c>
    </row>
    <row r="67" spans="1:2" x14ac:dyDescent="0.35">
      <c r="A67" t="s">
        <v>75</v>
      </c>
      <c r="B67" s="2">
        <v>4.8</v>
      </c>
    </row>
    <row r="68" spans="1:2" x14ac:dyDescent="0.35">
      <c r="A68" t="s">
        <v>76</v>
      </c>
      <c r="B68" s="2">
        <v>4.38</v>
      </c>
    </row>
    <row r="69" spans="1:2" x14ac:dyDescent="0.35">
      <c r="A69" t="s">
        <v>77</v>
      </c>
      <c r="B69" s="2">
        <v>3.6</v>
      </c>
    </row>
    <row r="70" spans="1:2" x14ac:dyDescent="0.35">
      <c r="A70" t="s">
        <v>78</v>
      </c>
      <c r="B70" s="2">
        <v>3.39</v>
      </c>
    </row>
    <row r="71" spans="1:2" x14ac:dyDescent="0.35">
      <c r="A71" t="s">
        <v>79</v>
      </c>
      <c r="B71" s="2">
        <v>5.07</v>
      </c>
    </row>
    <row r="72" spans="1:2" x14ac:dyDescent="0.35">
      <c r="A72" t="s">
        <v>80</v>
      </c>
      <c r="B72" s="2">
        <v>5.86</v>
      </c>
    </row>
    <row r="73" spans="1:2" x14ac:dyDescent="0.35">
      <c r="A73" t="s">
        <v>81</v>
      </c>
      <c r="B73" s="2">
        <v>5.75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83AE-64FA-4241-9761-BAA15E3B575C}">
  <dimension ref="A1:B73"/>
  <sheetViews>
    <sheetView tabSelected="1" workbookViewId="0">
      <selection activeCell="L18" sqref="L18"/>
    </sheetView>
  </sheetViews>
  <sheetFormatPr defaultRowHeight="14.5" x14ac:dyDescent="0.35"/>
  <sheetData>
    <row r="1" spans="1:2" x14ac:dyDescent="0.35">
      <c r="A1" t="s">
        <v>82</v>
      </c>
      <c r="B1" t="s">
        <v>83</v>
      </c>
    </row>
    <row r="2" spans="1:2" x14ac:dyDescent="0.35">
      <c r="A2">
        <f>YEAR(Annual!A2)</f>
        <v>1953</v>
      </c>
      <c r="B2">
        <f>Annual!B2/100</f>
        <v>3.73E-2</v>
      </c>
    </row>
    <row r="3" spans="1:2" x14ac:dyDescent="0.35">
      <c r="A3">
        <f>YEAR(Annual!A3)</f>
        <v>1954</v>
      </c>
      <c r="B3">
        <f>Annual!B3/100</f>
        <v>3.5099999999999999E-2</v>
      </c>
    </row>
    <row r="4" spans="1:2" x14ac:dyDescent="0.35">
      <c r="A4">
        <f>YEAR(Annual!A4)</f>
        <v>1955</v>
      </c>
      <c r="B4">
        <f>Annual!B4/100</f>
        <v>3.5299999999999998E-2</v>
      </c>
    </row>
    <row r="5" spans="1:2" x14ac:dyDescent="0.35">
      <c r="A5">
        <f>YEAR(Annual!A5)</f>
        <v>1956</v>
      </c>
      <c r="B5">
        <f>Annual!B5/100</f>
        <v>3.8800000000000001E-2</v>
      </c>
    </row>
    <row r="6" spans="1:2" x14ac:dyDescent="0.35">
      <c r="A6">
        <f>YEAR(Annual!A6)</f>
        <v>1957</v>
      </c>
      <c r="B6">
        <f>Annual!B6/100</f>
        <v>4.7100000000000003E-2</v>
      </c>
    </row>
    <row r="7" spans="1:2" x14ac:dyDescent="0.35">
      <c r="A7">
        <f>YEAR(Annual!A7)</f>
        <v>1958</v>
      </c>
      <c r="B7">
        <f>Annual!B7/100</f>
        <v>4.7300000000000002E-2</v>
      </c>
    </row>
    <row r="8" spans="1:2" x14ac:dyDescent="0.35">
      <c r="A8">
        <f>YEAR(Annual!A8)</f>
        <v>1959</v>
      </c>
      <c r="B8">
        <f>Annual!B8/100</f>
        <v>5.0499999999999996E-2</v>
      </c>
    </row>
    <row r="9" spans="1:2" x14ac:dyDescent="0.35">
      <c r="A9">
        <f>YEAR(Annual!A9)</f>
        <v>1960</v>
      </c>
      <c r="B9">
        <f>Annual!B9/100</f>
        <v>5.1900000000000002E-2</v>
      </c>
    </row>
    <row r="10" spans="1:2" x14ac:dyDescent="0.35">
      <c r="A10">
        <f>YEAR(Annual!A10)</f>
        <v>1961</v>
      </c>
      <c r="B10">
        <f>Annual!B10/100</f>
        <v>5.0799999999999998E-2</v>
      </c>
    </row>
    <row r="11" spans="1:2" x14ac:dyDescent="0.35">
      <c r="A11">
        <f>YEAR(Annual!A11)</f>
        <v>1962</v>
      </c>
      <c r="B11">
        <f>Annual!B11/100</f>
        <v>5.0199999999999995E-2</v>
      </c>
    </row>
    <row r="12" spans="1:2" x14ac:dyDescent="0.35">
      <c r="A12">
        <f>YEAR(Annual!A12)</f>
        <v>1963</v>
      </c>
      <c r="B12">
        <f>Annual!B12/100</f>
        <v>4.8600000000000004E-2</v>
      </c>
    </row>
    <row r="13" spans="1:2" x14ac:dyDescent="0.35">
      <c r="A13">
        <f>YEAR(Annual!A13)</f>
        <v>1964</v>
      </c>
      <c r="B13">
        <f>Annual!B13/100</f>
        <v>4.8300000000000003E-2</v>
      </c>
    </row>
    <row r="14" spans="1:2" x14ac:dyDescent="0.35">
      <c r="A14">
        <f>YEAR(Annual!A14)</f>
        <v>1965</v>
      </c>
      <c r="B14">
        <f>Annual!B14/100</f>
        <v>4.87E-2</v>
      </c>
    </row>
    <row r="15" spans="1:2" x14ac:dyDescent="0.35">
      <c r="A15">
        <f>YEAR(Annual!A15)</f>
        <v>1966</v>
      </c>
      <c r="B15">
        <f>Annual!B15/100</f>
        <v>5.67E-2</v>
      </c>
    </row>
    <row r="16" spans="1:2" x14ac:dyDescent="0.35">
      <c r="A16">
        <f>YEAR(Annual!A16)</f>
        <v>1967</v>
      </c>
      <c r="B16">
        <f>Annual!B16/100</f>
        <v>6.2300000000000001E-2</v>
      </c>
    </row>
    <row r="17" spans="1:2" x14ac:dyDescent="0.35">
      <c r="A17">
        <f>YEAR(Annual!A17)</f>
        <v>1968</v>
      </c>
      <c r="B17">
        <f>Annual!B17/100</f>
        <v>6.9400000000000003E-2</v>
      </c>
    </row>
    <row r="18" spans="1:2" x14ac:dyDescent="0.35">
      <c r="A18">
        <f>YEAR(Annual!A18)</f>
        <v>1969</v>
      </c>
      <c r="B18">
        <f>Annual!B18/100</f>
        <v>7.8100000000000003E-2</v>
      </c>
    </row>
    <row r="19" spans="1:2" x14ac:dyDescent="0.35">
      <c r="A19">
        <f>YEAR(Annual!A19)</f>
        <v>1970</v>
      </c>
      <c r="B19">
        <f>Annual!B19/100</f>
        <v>9.11E-2</v>
      </c>
    </row>
    <row r="20" spans="1:2" x14ac:dyDescent="0.35">
      <c r="A20">
        <f>YEAR(Annual!A20)</f>
        <v>1971</v>
      </c>
      <c r="B20">
        <f>Annual!B20/100</f>
        <v>8.5600000000000009E-2</v>
      </c>
    </row>
    <row r="21" spans="1:2" x14ac:dyDescent="0.35">
      <c r="A21">
        <f>YEAR(Annual!A21)</f>
        <v>1972</v>
      </c>
      <c r="B21">
        <f>Annual!B21/100</f>
        <v>8.1600000000000006E-2</v>
      </c>
    </row>
    <row r="22" spans="1:2" x14ac:dyDescent="0.35">
      <c r="A22">
        <f>YEAR(Annual!A22)</f>
        <v>1973</v>
      </c>
      <c r="B22">
        <f>Annual!B22/100</f>
        <v>8.2400000000000001E-2</v>
      </c>
    </row>
    <row r="23" spans="1:2" x14ac:dyDescent="0.35">
      <c r="A23">
        <f>YEAR(Annual!A23)</f>
        <v>1974</v>
      </c>
      <c r="B23">
        <f>Annual!B23/100</f>
        <v>9.5000000000000001E-2</v>
      </c>
    </row>
    <row r="24" spans="1:2" x14ac:dyDescent="0.35">
      <c r="A24">
        <f>YEAR(Annual!A24)</f>
        <v>1975</v>
      </c>
      <c r="B24">
        <f>Annual!B24/100</f>
        <v>0.1061</v>
      </c>
    </row>
    <row r="25" spans="1:2" x14ac:dyDescent="0.35">
      <c r="A25">
        <f>YEAR(Annual!A25)</f>
        <v>1976</v>
      </c>
      <c r="B25">
        <f>Annual!B25/100</f>
        <v>9.7500000000000003E-2</v>
      </c>
    </row>
    <row r="26" spans="1:2" x14ac:dyDescent="0.35">
      <c r="A26">
        <f>YEAR(Annual!A26)</f>
        <v>1977</v>
      </c>
      <c r="B26">
        <f>Annual!B26/100</f>
        <v>8.9700000000000002E-2</v>
      </c>
    </row>
    <row r="27" spans="1:2" x14ac:dyDescent="0.35">
      <c r="A27">
        <f>YEAR(Annual!A27)</f>
        <v>1978</v>
      </c>
      <c r="B27">
        <f>Annual!B27/100</f>
        <v>9.4899999999999998E-2</v>
      </c>
    </row>
    <row r="28" spans="1:2" x14ac:dyDescent="0.35">
      <c r="A28">
        <f>YEAR(Annual!A28)</f>
        <v>1979</v>
      </c>
      <c r="B28">
        <f>Annual!B28/100</f>
        <v>0.1069</v>
      </c>
    </row>
    <row r="29" spans="1:2" x14ac:dyDescent="0.35">
      <c r="A29">
        <f>YEAR(Annual!A29)</f>
        <v>1980</v>
      </c>
      <c r="B29">
        <f>Annual!B29/100</f>
        <v>0.13669999999999999</v>
      </c>
    </row>
    <row r="30" spans="1:2" x14ac:dyDescent="0.35">
      <c r="A30">
        <f>YEAR(Annual!A30)</f>
        <v>1981</v>
      </c>
      <c r="B30">
        <f>Annual!B30/100</f>
        <v>0.16039999999999999</v>
      </c>
    </row>
    <row r="31" spans="1:2" x14ac:dyDescent="0.35">
      <c r="A31">
        <f>YEAR(Annual!A31)</f>
        <v>1982</v>
      </c>
      <c r="B31">
        <f>Annual!B31/100</f>
        <v>0.16109999999999999</v>
      </c>
    </row>
    <row r="32" spans="1:2" x14ac:dyDescent="0.35">
      <c r="A32">
        <f>YEAR(Annual!A32)</f>
        <v>1983</v>
      </c>
      <c r="B32">
        <f>Annual!B32/100</f>
        <v>0.13550000000000001</v>
      </c>
    </row>
    <row r="33" spans="1:2" x14ac:dyDescent="0.35">
      <c r="A33">
        <f>YEAR(Annual!A33)</f>
        <v>1984</v>
      </c>
      <c r="B33">
        <f>Annual!B33/100</f>
        <v>0.1419</v>
      </c>
    </row>
    <row r="34" spans="1:2" x14ac:dyDescent="0.35">
      <c r="A34">
        <f>YEAR(Annual!A34)</f>
        <v>1985</v>
      </c>
      <c r="B34">
        <f>Annual!B34/100</f>
        <v>0.12720000000000001</v>
      </c>
    </row>
    <row r="35" spans="1:2" x14ac:dyDescent="0.35">
      <c r="A35">
        <f>YEAR(Annual!A35)</f>
        <v>1986</v>
      </c>
      <c r="B35">
        <f>Annual!B35/100</f>
        <v>0.10390000000000001</v>
      </c>
    </row>
    <row r="36" spans="1:2" x14ac:dyDescent="0.35">
      <c r="A36">
        <f>YEAR(Annual!A36)</f>
        <v>1987</v>
      </c>
      <c r="B36">
        <f>Annual!B36/100</f>
        <v>0.10580000000000001</v>
      </c>
    </row>
    <row r="37" spans="1:2" x14ac:dyDescent="0.35">
      <c r="A37">
        <f>YEAR(Annual!A37)</f>
        <v>1988</v>
      </c>
      <c r="B37">
        <f>Annual!B37/100</f>
        <v>0.10830000000000001</v>
      </c>
    </row>
    <row r="38" spans="1:2" x14ac:dyDescent="0.35">
      <c r="A38">
        <f>YEAR(Annual!A38)</f>
        <v>1989</v>
      </c>
      <c r="B38">
        <f>Annual!B38/100</f>
        <v>0.1018</v>
      </c>
    </row>
    <row r="39" spans="1:2" x14ac:dyDescent="0.35">
      <c r="A39">
        <f>YEAR(Annual!A39)</f>
        <v>1990</v>
      </c>
      <c r="B39">
        <f>Annual!B39/100</f>
        <v>0.1036</v>
      </c>
    </row>
    <row r="40" spans="1:2" x14ac:dyDescent="0.35">
      <c r="A40">
        <f>YEAR(Annual!A40)</f>
        <v>1991</v>
      </c>
      <c r="B40">
        <f>Annual!B40/100</f>
        <v>9.8000000000000004E-2</v>
      </c>
    </row>
    <row r="41" spans="1:2" x14ac:dyDescent="0.35">
      <c r="A41">
        <f>YEAR(Annual!A41)</f>
        <v>1992</v>
      </c>
      <c r="B41">
        <f>Annual!B41/100</f>
        <v>8.9800000000000005E-2</v>
      </c>
    </row>
    <row r="42" spans="1:2" x14ac:dyDescent="0.35">
      <c r="A42">
        <f>YEAR(Annual!A42)</f>
        <v>1993</v>
      </c>
      <c r="B42">
        <f>Annual!B42/100</f>
        <v>7.9299999999999995E-2</v>
      </c>
    </row>
    <row r="43" spans="1:2" x14ac:dyDescent="0.35">
      <c r="A43">
        <f>YEAR(Annual!A43)</f>
        <v>1994</v>
      </c>
      <c r="B43">
        <f>Annual!B43/100</f>
        <v>8.6199999999999999E-2</v>
      </c>
    </row>
    <row r="44" spans="1:2" x14ac:dyDescent="0.35">
      <c r="A44">
        <f>YEAR(Annual!A44)</f>
        <v>1995</v>
      </c>
      <c r="B44">
        <f>Annual!B44/100</f>
        <v>8.199999999999999E-2</v>
      </c>
    </row>
    <row r="45" spans="1:2" x14ac:dyDescent="0.35">
      <c r="A45">
        <f>YEAR(Annual!A45)</f>
        <v>1996</v>
      </c>
      <c r="B45">
        <f>Annual!B45/100</f>
        <v>8.0500000000000002E-2</v>
      </c>
    </row>
    <row r="46" spans="1:2" x14ac:dyDescent="0.35">
      <c r="A46">
        <f>YEAR(Annual!A46)</f>
        <v>1997</v>
      </c>
      <c r="B46">
        <f>Annual!B46/100</f>
        <v>7.8600000000000003E-2</v>
      </c>
    </row>
    <row r="47" spans="1:2" x14ac:dyDescent="0.35">
      <c r="A47">
        <f>YEAR(Annual!A47)</f>
        <v>1998</v>
      </c>
      <c r="B47">
        <f>Annual!B47/100</f>
        <v>7.22E-2</v>
      </c>
    </row>
    <row r="48" spans="1:2" x14ac:dyDescent="0.35">
      <c r="A48">
        <f>YEAR(Annual!A48)</f>
        <v>1999</v>
      </c>
      <c r="B48">
        <f>Annual!B48/100</f>
        <v>7.8700000000000006E-2</v>
      </c>
    </row>
    <row r="49" spans="1:2" x14ac:dyDescent="0.35">
      <c r="A49">
        <f>YEAR(Annual!A49)</f>
        <v>2000</v>
      </c>
      <c r="B49">
        <f>Annual!B49/100</f>
        <v>8.3599999999999994E-2</v>
      </c>
    </row>
    <row r="50" spans="1:2" x14ac:dyDescent="0.35">
      <c r="A50">
        <f>YEAR(Annual!A50)</f>
        <v>2001</v>
      </c>
      <c r="B50">
        <f>Annual!B50/100</f>
        <v>7.9500000000000001E-2</v>
      </c>
    </row>
    <row r="51" spans="1:2" x14ac:dyDescent="0.35">
      <c r="A51">
        <f>YEAR(Annual!A51)</f>
        <v>2002</v>
      </c>
      <c r="B51">
        <f>Annual!B51/100</f>
        <v>7.8E-2</v>
      </c>
    </row>
    <row r="52" spans="1:2" x14ac:dyDescent="0.35">
      <c r="A52">
        <f>YEAR(Annual!A52)</f>
        <v>2003</v>
      </c>
      <c r="B52">
        <f>Annual!B52/100</f>
        <v>6.7699999999999996E-2</v>
      </c>
    </row>
    <row r="53" spans="1:2" x14ac:dyDescent="0.35">
      <c r="A53">
        <f>YEAR(Annual!A53)</f>
        <v>2004</v>
      </c>
      <c r="B53">
        <f>Annual!B53/100</f>
        <v>6.3899999999999998E-2</v>
      </c>
    </row>
    <row r="54" spans="1:2" x14ac:dyDescent="0.35">
      <c r="A54">
        <f>YEAR(Annual!A54)</f>
        <v>2005</v>
      </c>
      <c r="B54">
        <f>Annual!B54/100</f>
        <v>6.0599999999999994E-2</v>
      </c>
    </row>
    <row r="55" spans="1:2" x14ac:dyDescent="0.35">
      <c r="A55">
        <f>YEAR(Annual!A55)</f>
        <v>2006</v>
      </c>
      <c r="B55">
        <f>Annual!B55/100</f>
        <v>6.480000000000001E-2</v>
      </c>
    </row>
    <row r="56" spans="1:2" x14ac:dyDescent="0.35">
      <c r="A56">
        <f>YEAR(Annual!A56)</f>
        <v>2007</v>
      </c>
      <c r="B56">
        <f>Annual!B56/100</f>
        <v>6.480000000000001E-2</v>
      </c>
    </row>
    <row r="57" spans="1:2" x14ac:dyDescent="0.35">
      <c r="A57">
        <f>YEAR(Annual!A57)</f>
        <v>2008</v>
      </c>
      <c r="B57">
        <f>Annual!B57/100</f>
        <v>7.4499999999999997E-2</v>
      </c>
    </row>
    <row r="58" spans="1:2" x14ac:dyDescent="0.35">
      <c r="A58">
        <f>YEAR(Annual!A58)</f>
        <v>2009</v>
      </c>
      <c r="B58">
        <f>Annual!B58/100</f>
        <v>7.2999999999999995E-2</v>
      </c>
    </row>
    <row r="59" spans="1:2" x14ac:dyDescent="0.35">
      <c r="A59">
        <f>YEAR(Annual!A59)</f>
        <v>2010</v>
      </c>
      <c r="B59">
        <f>Annual!B59/100</f>
        <v>6.0400000000000002E-2</v>
      </c>
    </row>
    <row r="60" spans="1:2" x14ac:dyDescent="0.35">
      <c r="A60">
        <f>YEAR(Annual!A60)</f>
        <v>2011</v>
      </c>
      <c r="B60">
        <f>Annual!B60/100</f>
        <v>5.6600000000000004E-2</v>
      </c>
    </row>
    <row r="61" spans="1:2" x14ac:dyDescent="0.35">
      <c r="A61">
        <f>YEAR(Annual!A61)</f>
        <v>2012</v>
      </c>
      <c r="B61">
        <f>Annual!B61/100</f>
        <v>4.9400000000000006E-2</v>
      </c>
    </row>
    <row r="62" spans="1:2" x14ac:dyDescent="0.35">
      <c r="A62">
        <f>YEAR(Annual!A62)</f>
        <v>2013</v>
      </c>
      <c r="B62">
        <f>Annual!B62/100</f>
        <v>5.0999999999999997E-2</v>
      </c>
    </row>
    <row r="63" spans="1:2" x14ac:dyDescent="0.35">
      <c r="A63">
        <f>YEAR(Annual!A63)</f>
        <v>2014</v>
      </c>
      <c r="B63">
        <f>Annual!B63/100</f>
        <v>4.8499999999999995E-2</v>
      </c>
    </row>
    <row r="64" spans="1:2" x14ac:dyDescent="0.35">
      <c r="A64">
        <f>YEAR(Annual!A64)</f>
        <v>2015</v>
      </c>
      <c r="B64">
        <f>Annual!B64/100</f>
        <v>0.05</v>
      </c>
    </row>
    <row r="65" spans="1:2" x14ac:dyDescent="0.35">
      <c r="A65">
        <f>YEAR(Annual!A65)</f>
        <v>2016</v>
      </c>
      <c r="B65">
        <f>Annual!B65/100</f>
        <v>4.7199999999999999E-2</v>
      </c>
    </row>
    <row r="66" spans="1:2" x14ac:dyDescent="0.35">
      <c r="A66">
        <f>YEAR(Annual!A66)</f>
        <v>2017</v>
      </c>
      <c r="B66">
        <f>Annual!B66/100</f>
        <v>4.4400000000000002E-2</v>
      </c>
    </row>
    <row r="67" spans="1:2" x14ac:dyDescent="0.35">
      <c r="A67">
        <f>YEAR(Annual!A67)</f>
        <v>2018</v>
      </c>
      <c r="B67">
        <f>Annual!B67/100</f>
        <v>4.8000000000000001E-2</v>
      </c>
    </row>
    <row r="68" spans="1:2" x14ac:dyDescent="0.35">
      <c r="A68">
        <f>YEAR(Annual!A68)</f>
        <v>2019</v>
      </c>
      <c r="B68">
        <f>Annual!B68/100</f>
        <v>4.3799999999999999E-2</v>
      </c>
    </row>
    <row r="69" spans="1:2" x14ac:dyDescent="0.35">
      <c r="A69">
        <f>YEAR(Annual!A69)</f>
        <v>2020</v>
      </c>
      <c r="B69">
        <f>Annual!B69/100</f>
        <v>3.6000000000000004E-2</v>
      </c>
    </row>
    <row r="70" spans="1:2" x14ac:dyDescent="0.35">
      <c r="A70">
        <f>YEAR(Annual!A70)</f>
        <v>2021</v>
      </c>
      <c r="B70">
        <f>Annual!B70/100</f>
        <v>3.39E-2</v>
      </c>
    </row>
    <row r="71" spans="1:2" x14ac:dyDescent="0.35">
      <c r="A71">
        <f>YEAR(Annual!A71)</f>
        <v>2022</v>
      </c>
      <c r="B71">
        <f>Annual!B71/100</f>
        <v>5.0700000000000002E-2</v>
      </c>
    </row>
    <row r="72" spans="1:2" x14ac:dyDescent="0.35">
      <c r="A72">
        <f>YEAR(Annual!A72)</f>
        <v>2023</v>
      </c>
      <c r="B72">
        <f>Annual!B72/100</f>
        <v>5.8600000000000006E-2</v>
      </c>
    </row>
    <row r="73" spans="1:2" x14ac:dyDescent="0.35">
      <c r="A73">
        <f>YEAR(Annual!A73)</f>
        <v>2024</v>
      </c>
      <c r="B73">
        <f>Annual!B73/100</f>
        <v>5.7500000000000002E-2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Annual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Spada</cp:lastModifiedBy>
  <dcterms:created xsi:type="dcterms:W3CDTF">2025-01-08T19:20:19Z</dcterms:created>
  <dcterms:modified xsi:type="dcterms:W3CDTF">2025-01-08T19:23:39Z</dcterms:modified>
</cp:coreProperties>
</file>