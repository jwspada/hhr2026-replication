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ada\Dropbox\tcja\tcja_project\hhr2026_replication\data\downloads\"/>
    </mc:Choice>
  </mc:AlternateContent>
  <xr:revisionPtr revIDLastSave="0" documentId="8_{CA581CEE-59EF-4CC2-9672-CEB1229C9006}" xr6:coauthVersionLast="47" xr6:coauthVersionMax="47" xr10:uidLastSave="{00000000-0000-0000-0000-000000000000}"/>
  <bookViews>
    <workbookView xWindow="9770" yWindow="-21710" windowWidth="38620" windowHeight="21100" xr2:uid="{89847B23-A303-4AAA-8DD8-BBB37C9EDFCF}"/>
  </bookViews>
  <sheets>
    <sheet name="Capital Deepen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F78" i="1" s="1"/>
  <c r="G78" i="1" s="1"/>
  <c r="F77" i="1"/>
  <c r="G77" i="1" s="1"/>
  <c r="E77" i="1"/>
  <c r="F76" i="1"/>
  <c r="E76" i="1"/>
  <c r="E75" i="1"/>
  <c r="F75" i="1" s="1"/>
  <c r="E74" i="1"/>
  <c r="F74" i="1" s="1"/>
  <c r="G74" i="1" s="1"/>
  <c r="F73" i="1"/>
  <c r="E73" i="1"/>
  <c r="E72" i="1"/>
  <c r="F72" i="1" s="1"/>
  <c r="E71" i="1"/>
  <c r="F71" i="1" s="1"/>
  <c r="E70" i="1"/>
  <c r="F70" i="1" s="1"/>
  <c r="E69" i="1"/>
  <c r="F69" i="1" s="1"/>
  <c r="E68" i="1"/>
  <c r="F68" i="1" s="1"/>
  <c r="G68" i="1" s="1"/>
  <c r="E67" i="1"/>
  <c r="F67" i="1" s="1"/>
  <c r="G67" i="1" s="1"/>
  <c r="E66" i="1"/>
  <c r="F66" i="1" s="1"/>
  <c r="G66" i="1" s="1"/>
  <c r="F65" i="1"/>
  <c r="E65" i="1"/>
  <c r="E64" i="1"/>
  <c r="F64" i="1" s="1"/>
  <c r="G64" i="1" s="1"/>
  <c r="F63" i="1"/>
  <c r="G63" i="1" s="1"/>
  <c r="E63" i="1"/>
  <c r="F62" i="1"/>
  <c r="E62" i="1"/>
  <c r="E61" i="1"/>
  <c r="F61" i="1" s="1"/>
  <c r="E60" i="1"/>
  <c r="F60" i="1" s="1"/>
  <c r="G60" i="1" s="1"/>
  <c r="F59" i="1"/>
  <c r="E59" i="1"/>
  <c r="E58" i="1"/>
  <c r="F58" i="1" s="1"/>
  <c r="G58" i="1" s="1"/>
  <c r="E57" i="1"/>
  <c r="F57" i="1" s="1"/>
  <c r="G57" i="1" s="1"/>
  <c r="E56" i="1"/>
  <c r="F56" i="1" s="1"/>
  <c r="G56" i="1" s="1"/>
  <c r="E55" i="1"/>
  <c r="F55" i="1" s="1"/>
  <c r="E54" i="1"/>
  <c r="F54" i="1" s="1"/>
  <c r="E53" i="1"/>
  <c r="F53" i="1" s="1"/>
  <c r="E52" i="1"/>
  <c r="F52" i="1" s="1"/>
  <c r="G52" i="1" s="1"/>
  <c r="F51" i="1"/>
  <c r="E51" i="1"/>
  <c r="E50" i="1"/>
  <c r="F50" i="1" s="1"/>
  <c r="E49" i="1"/>
  <c r="F49" i="1" s="1"/>
  <c r="G49" i="1" s="1"/>
  <c r="F48" i="1"/>
  <c r="E48" i="1"/>
  <c r="E47" i="1"/>
  <c r="F47" i="1" s="1"/>
  <c r="E46" i="1"/>
  <c r="F46" i="1" s="1"/>
  <c r="G46" i="1" s="1"/>
  <c r="F45" i="1"/>
  <c r="G45" i="1" s="1"/>
  <c r="E45" i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G38" i="1" s="1"/>
  <c r="F37" i="1"/>
  <c r="E37" i="1"/>
  <c r="E36" i="1"/>
  <c r="F36" i="1" s="1"/>
  <c r="E35" i="1"/>
  <c r="F35" i="1" s="1"/>
  <c r="G35" i="1" s="1"/>
  <c r="F34" i="1"/>
  <c r="G34" i="1" s="1"/>
  <c r="E34" i="1"/>
  <c r="E33" i="1"/>
  <c r="F33" i="1" s="1"/>
  <c r="G33" i="1" s="1"/>
  <c r="E32" i="1"/>
  <c r="F32" i="1" s="1"/>
  <c r="G32" i="1" s="1"/>
  <c r="F31" i="1"/>
  <c r="E31" i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G24" i="1" s="1"/>
  <c r="F23" i="1"/>
  <c r="G23" i="1" s="1"/>
  <c r="E23" i="1"/>
  <c r="E22" i="1"/>
  <c r="F22" i="1" s="1"/>
  <c r="G22" i="1" s="1"/>
  <c r="E21" i="1"/>
  <c r="F21" i="1" s="1"/>
  <c r="G21" i="1" s="1"/>
  <c r="F20" i="1"/>
  <c r="E20" i="1"/>
  <c r="E19" i="1"/>
  <c r="F19" i="1" s="1"/>
  <c r="E18" i="1"/>
  <c r="F18" i="1" s="1"/>
  <c r="G18" i="1" s="1"/>
  <c r="F17" i="1"/>
  <c r="E17" i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G11" i="1" s="1"/>
  <c r="E10" i="1"/>
  <c r="F10" i="1" s="1"/>
  <c r="G10" i="1" s="1"/>
  <c r="F9" i="1"/>
  <c r="E9" i="1"/>
  <c r="E8" i="1"/>
  <c r="F8" i="1" s="1"/>
  <c r="E7" i="1"/>
  <c r="F7" i="1" s="1"/>
  <c r="G7" i="1" s="1"/>
  <c r="F6" i="1"/>
  <c r="E6" i="1"/>
  <c r="E5" i="1"/>
  <c r="F5" i="1" s="1"/>
  <c r="E4" i="1"/>
  <c r="F4" i="1" s="1"/>
  <c r="E3" i="1"/>
  <c r="F3" i="1" s="1"/>
  <c r="G12" i="1" l="1"/>
  <c r="G69" i="1"/>
  <c r="G13" i="1"/>
  <c r="G36" i="1"/>
  <c r="G59" i="1"/>
  <c r="G70" i="1"/>
  <c r="G25" i="1"/>
  <c r="G48" i="1"/>
  <c r="G71" i="1"/>
  <c r="G15" i="1"/>
  <c r="G26" i="1"/>
  <c r="G37" i="1"/>
  <c r="G61" i="1"/>
  <c r="G72" i="1"/>
  <c r="G4" i="1"/>
  <c r="G16" i="1"/>
  <c r="G27" i="1"/>
  <c r="G50" i="1"/>
  <c r="G5" i="1"/>
  <c r="G28" i="1"/>
  <c r="G39" i="1"/>
  <c r="G73" i="1"/>
  <c r="G17" i="1"/>
  <c r="G29" i="1"/>
  <c r="G40" i="1"/>
  <c r="G51" i="1"/>
  <c r="G6" i="1"/>
  <c r="G30" i="1"/>
  <c r="G41" i="1"/>
  <c r="G75" i="1"/>
  <c r="G19" i="1"/>
  <c r="G42" i="1"/>
  <c r="G53" i="1"/>
  <c r="G8" i="1"/>
  <c r="G31" i="1"/>
  <c r="G43" i="1"/>
  <c r="G54" i="1"/>
  <c r="G76" i="1"/>
  <c r="G20" i="1"/>
  <c r="G44" i="1"/>
  <c r="G55" i="1"/>
  <c r="G65" i="1"/>
  <c r="G14" i="1"/>
  <c r="G62" i="1"/>
  <c r="G9" i="1"/>
  <c r="G47" i="1"/>
</calcChain>
</file>

<file path=xl/sharedStrings.xml><?xml version="1.0" encoding="utf-8"?>
<sst xmlns="http://schemas.openxmlformats.org/spreadsheetml/2006/main" count="8" uniqueCount="8">
  <si>
    <t>DATE</t>
  </si>
  <si>
    <t>https://fred.stlouisfed.org/series/CLF16OV</t>
  </si>
  <si>
    <t>Civilian Labor Force</t>
  </si>
  <si>
    <t>Total Nominal Capital</t>
  </si>
  <si>
    <t>Inflation</t>
  </si>
  <si>
    <t>Real Capital Stock</t>
  </si>
  <si>
    <t>K/L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</si>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</sst>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7684151910888"/>
          <c:y val="4.2105263157894736E-2"/>
          <c:w val="0.81231773276498598"/>
          <c:h val="0.8436493237388388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'Capital Deepening'!$A$3:$A$78</c:f>
              <c:numCache>
                <c:formatCode>m/d/yyyy</c:formatCode>
                <c:ptCount val="76"/>
                <c:pt idx="0">
                  <c:v>17533</c:v>
                </c:pt>
                <c:pt idx="1">
                  <c:v>17899</c:v>
                </c:pt>
                <c:pt idx="2">
                  <c:v>18264</c:v>
                </c:pt>
                <c:pt idx="3">
                  <c:v>18629</c:v>
                </c:pt>
                <c:pt idx="4">
                  <c:v>18994</c:v>
                </c:pt>
                <c:pt idx="5">
                  <c:v>19360</c:v>
                </c:pt>
                <c:pt idx="6">
                  <c:v>19725</c:v>
                </c:pt>
                <c:pt idx="7">
                  <c:v>20090</c:v>
                </c:pt>
                <c:pt idx="8">
                  <c:v>20455</c:v>
                </c:pt>
                <c:pt idx="9">
                  <c:v>20821</c:v>
                </c:pt>
                <c:pt idx="10">
                  <c:v>21186</c:v>
                </c:pt>
                <c:pt idx="11">
                  <c:v>21551</c:v>
                </c:pt>
                <c:pt idx="12">
                  <c:v>21916</c:v>
                </c:pt>
                <c:pt idx="13">
                  <c:v>22282</c:v>
                </c:pt>
                <c:pt idx="14">
                  <c:v>22647</c:v>
                </c:pt>
                <c:pt idx="15">
                  <c:v>23012</c:v>
                </c:pt>
                <c:pt idx="16">
                  <c:v>23377</c:v>
                </c:pt>
                <c:pt idx="17">
                  <c:v>23743</c:v>
                </c:pt>
                <c:pt idx="18">
                  <c:v>24108</c:v>
                </c:pt>
                <c:pt idx="19">
                  <c:v>24473</c:v>
                </c:pt>
                <c:pt idx="20">
                  <c:v>24838</c:v>
                </c:pt>
                <c:pt idx="21">
                  <c:v>25204</c:v>
                </c:pt>
                <c:pt idx="22">
                  <c:v>25569</c:v>
                </c:pt>
                <c:pt idx="23">
                  <c:v>25934</c:v>
                </c:pt>
                <c:pt idx="24">
                  <c:v>26299</c:v>
                </c:pt>
                <c:pt idx="25">
                  <c:v>26665</c:v>
                </c:pt>
                <c:pt idx="26">
                  <c:v>27030</c:v>
                </c:pt>
                <c:pt idx="27">
                  <c:v>27395</c:v>
                </c:pt>
                <c:pt idx="28">
                  <c:v>27760</c:v>
                </c:pt>
                <c:pt idx="29">
                  <c:v>28126</c:v>
                </c:pt>
                <c:pt idx="30">
                  <c:v>28491</c:v>
                </c:pt>
                <c:pt idx="31">
                  <c:v>28856</c:v>
                </c:pt>
                <c:pt idx="32">
                  <c:v>29221</c:v>
                </c:pt>
                <c:pt idx="33">
                  <c:v>29587</c:v>
                </c:pt>
                <c:pt idx="34">
                  <c:v>29952</c:v>
                </c:pt>
                <c:pt idx="35">
                  <c:v>30317</c:v>
                </c:pt>
                <c:pt idx="36">
                  <c:v>30682</c:v>
                </c:pt>
                <c:pt idx="37">
                  <c:v>31048</c:v>
                </c:pt>
                <c:pt idx="38">
                  <c:v>31413</c:v>
                </c:pt>
                <c:pt idx="39">
                  <c:v>31778</c:v>
                </c:pt>
                <c:pt idx="40">
                  <c:v>32143</c:v>
                </c:pt>
                <c:pt idx="41">
                  <c:v>32509</c:v>
                </c:pt>
                <c:pt idx="42">
                  <c:v>32874</c:v>
                </c:pt>
                <c:pt idx="43">
                  <c:v>33239</c:v>
                </c:pt>
                <c:pt idx="44">
                  <c:v>33604</c:v>
                </c:pt>
                <c:pt idx="45">
                  <c:v>33970</c:v>
                </c:pt>
                <c:pt idx="46">
                  <c:v>34335</c:v>
                </c:pt>
                <c:pt idx="47">
                  <c:v>34700</c:v>
                </c:pt>
                <c:pt idx="48">
                  <c:v>35065</c:v>
                </c:pt>
                <c:pt idx="49">
                  <c:v>35431</c:v>
                </c:pt>
                <c:pt idx="50">
                  <c:v>35796</c:v>
                </c:pt>
                <c:pt idx="51">
                  <c:v>36161</c:v>
                </c:pt>
                <c:pt idx="52">
                  <c:v>36526</c:v>
                </c:pt>
                <c:pt idx="53">
                  <c:v>36892</c:v>
                </c:pt>
                <c:pt idx="54">
                  <c:v>37257</c:v>
                </c:pt>
                <c:pt idx="55">
                  <c:v>37622</c:v>
                </c:pt>
                <c:pt idx="56">
                  <c:v>37987</c:v>
                </c:pt>
                <c:pt idx="57">
                  <c:v>38353</c:v>
                </c:pt>
                <c:pt idx="58">
                  <c:v>38718</c:v>
                </c:pt>
                <c:pt idx="59">
                  <c:v>39083</c:v>
                </c:pt>
                <c:pt idx="60">
                  <c:v>39448</c:v>
                </c:pt>
                <c:pt idx="61">
                  <c:v>39814</c:v>
                </c:pt>
                <c:pt idx="62">
                  <c:v>40179</c:v>
                </c:pt>
                <c:pt idx="63">
                  <c:v>40544</c:v>
                </c:pt>
                <c:pt idx="64">
                  <c:v>40909</c:v>
                </c:pt>
                <c:pt idx="65">
                  <c:v>41275</c:v>
                </c:pt>
                <c:pt idx="66">
                  <c:v>41640</c:v>
                </c:pt>
                <c:pt idx="67">
                  <c:v>42005</c:v>
                </c:pt>
                <c:pt idx="68">
                  <c:v>42370</c:v>
                </c:pt>
                <c:pt idx="69">
                  <c:v>42736</c:v>
                </c:pt>
                <c:pt idx="70">
                  <c:v>43101</c:v>
                </c:pt>
                <c:pt idx="71">
                  <c:v>43466</c:v>
                </c:pt>
                <c:pt idx="72">
                  <c:v>43831</c:v>
                </c:pt>
                <c:pt idx="73">
                  <c:v>44197</c:v>
                </c:pt>
                <c:pt idx="74">
                  <c:v>44562</c:v>
                </c:pt>
                <c:pt idx="75">
                  <c:v>44927</c:v>
                </c:pt>
              </c:numCache>
            </c:numRef>
          </c:cat>
          <c:val>
            <c:numRef>
              <c:f>'Capital Deepening'!$F$3:$F$78</c:f>
              <c:numCache>
                <c:formatCode>General</c:formatCode>
                <c:ptCount val="76"/>
                <c:pt idx="0">
                  <c:v>0.11798861223883704</c:v>
                </c:pt>
                <c:pt idx="1">
                  <c:v>0.12274500490501175</c:v>
                </c:pt>
                <c:pt idx="2">
                  <c:v>0.13058910336363438</c:v>
                </c:pt>
                <c:pt idx="3">
                  <c:v>0.13332083772464318</c:v>
                </c:pt>
                <c:pt idx="4">
                  <c:v>0.13879119380177618</c:v>
                </c:pt>
                <c:pt idx="5">
                  <c:v>0.14332802234858244</c:v>
                </c:pt>
                <c:pt idx="6">
                  <c:v>0.14849966708798706</c:v>
                </c:pt>
                <c:pt idx="7">
                  <c:v>0.15369855584854999</c:v>
                </c:pt>
                <c:pt idx="8">
                  <c:v>0.16057617608134045</c:v>
                </c:pt>
                <c:pt idx="9">
                  <c:v>0.16233395093130779</c:v>
                </c:pt>
                <c:pt idx="10">
                  <c:v>0.16267565512473886</c:v>
                </c:pt>
                <c:pt idx="11">
                  <c:v>0.16403948997353793</c:v>
                </c:pt>
                <c:pt idx="12">
                  <c:v>0.16345792548059726</c:v>
                </c:pt>
                <c:pt idx="13">
                  <c:v>0.16847860422512245</c:v>
                </c:pt>
                <c:pt idx="14">
                  <c:v>0.17074047639209808</c:v>
                </c:pt>
                <c:pt idx="15">
                  <c:v>0.17017637569331778</c:v>
                </c:pt>
                <c:pt idx="16">
                  <c:v>0.17669632670795621</c:v>
                </c:pt>
                <c:pt idx="17">
                  <c:v>0.18109795106814805</c:v>
                </c:pt>
                <c:pt idx="18">
                  <c:v>0.1862592757227631</c:v>
                </c:pt>
                <c:pt idx="19">
                  <c:v>0.1893271701438981</c:v>
                </c:pt>
                <c:pt idx="20">
                  <c:v>0.19696351061274084</c:v>
                </c:pt>
                <c:pt idx="21">
                  <c:v>0.19694033136610625</c:v>
                </c:pt>
                <c:pt idx="22">
                  <c:v>0.1966452863096407</c:v>
                </c:pt>
                <c:pt idx="23">
                  <c:v>0.20640483162661832</c:v>
                </c:pt>
                <c:pt idx="24">
                  <c:v>0.21426870046172961</c:v>
                </c:pt>
                <c:pt idx="25">
                  <c:v>0.21621881913128324</c:v>
                </c:pt>
                <c:pt idx="26">
                  <c:v>0.22239022075965645</c:v>
                </c:pt>
                <c:pt idx="27">
                  <c:v>0.22268943048275106</c:v>
                </c:pt>
                <c:pt idx="28">
                  <c:v>0.22640589354334489</c:v>
                </c:pt>
                <c:pt idx="29">
                  <c:v>0.23354676269852109</c:v>
                </c:pt>
                <c:pt idx="30">
                  <c:v>0.23708544250528304</c:v>
                </c:pt>
                <c:pt idx="31">
                  <c:v>0.2366977608857955</c:v>
                </c:pt>
                <c:pt idx="32">
                  <c:v>0.23693199597533762</c:v>
                </c:pt>
                <c:pt idx="33">
                  <c:v>0.23679634977558736</c:v>
                </c:pt>
                <c:pt idx="34">
                  <c:v>0.23603972932685238</c:v>
                </c:pt>
                <c:pt idx="35">
                  <c:v>0.23310513961693521</c:v>
                </c:pt>
                <c:pt idx="36">
                  <c:v>0.23273847623926799</c:v>
                </c:pt>
                <c:pt idx="37">
                  <c:v>0.2330935202232394</c:v>
                </c:pt>
                <c:pt idx="38">
                  <c:v>0.24034803737740887</c:v>
                </c:pt>
                <c:pt idx="39">
                  <c:v>0.23988094965816234</c:v>
                </c:pt>
                <c:pt idx="40">
                  <c:v>0.24064831460751593</c:v>
                </c:pt>
                <c:pt idx="41">
                  <c:v>0.23960928675326809</c:v>
                </c:pt>
                <c:pt idx="42">
                  <c:v>0.23296828202578507</c:v>
                </c:pt>
                <c:pt idx="43">
                  <c:v>0.23032322976165026</c:v>
                </c:pt>
                <c:pt idx="44">
                  <c:v>0.22968774031220793</c:v>
                </c:pt>
                <c:pt idx="45">
                  <c:v>0.23259629197189197</c:v>
                </c:pt>
                <c:pt idx="46">
                  <c:v>0.23699087831399832</c:v>
                </c:pt>
                <c:pt idx="47">
                  <c:v>0.24149419189047278</c:v>
                </c:pt>
                <c:pt idx="48">
                  <c:v>0.2408237427057994</c:v>
                </c:pt>
                <c:pt idx="49">
                  <c:v>0.24629876463155403</c:v>
                </c:pt>
                <c:pt idx="50">
                  <c:v>0.25433922524982816</c:v>
                </c:pt>
                <c:pt idx="51">
                  <c:v>0.26131253251855213</c:v>
                </c:pt>
                <c:pt idx="52">
                  <c:v>0.26438804948561084</c:v>
                </c:pt>
                <c:pt idx="53">
                  <c:v>0.27384764008431817</c:v>
                </c:pt>
                <c:pt idx="54">
                  <c:v>0.27907360748827703</c:v>
                </c:pt>
                <c:pt idx="55">
                  <c:v>0.28583973128744472</c:v>
                </c:pt>
                <c:pt idx="56">
                  <c:v>0.30171377829425761</c:v>
                </c:pt>
                <c:pt idx="57">
                  <c:v>0.31766383090872996</c:v>
                </c:pt>
                <c:pt idx="58">
                  <c:v>0.32744705468970836</c:v>
                </c:pt>
                <c:pt idx="59">
                  <c:v>0.32306299560011414</c:v>
                </c:pt>
                <c:pt idx="60">
                  <c:v>0.32942261967929815</c:v>
                </c:pt>
                <c:pt idx="61">
                  <c:v>0.31536234251732931</c:v>
                </c:pt>
                <c:pt idx="62">
                  <c:v>0.31411176943961439</c:v>
                </c:pt>
                <c:pt idx="63">
                  <c:v>0.31272042678845791</c:v>
                </c:pt>
                <c:pt idx="64">
                  <c:v>0.3136302797271116</c:v>
                </c:pt>
                <c:pt idx="65">
                  <c:v>0.32663746278933187</c:v>
                </c:pt>
                <c:pt idx="66">
                  <c:v>0.33718260668517469</c:v>
                </c:pt>
                <c:pt idx="67">
                  <c:v>0.3406875403238509</c:v>
                </c:pt>
                <c:pt idx="68">
                  <c:v>0.34580581583309344</c:v>
                </c:pt>
                <c:pt idx="69">
                  <c:v>0.3512257298729024</c:v>
                </c:pt>
                <c:pt idx="70">
                  <c:v>0.35640451830596626</c:v>
                </c:pt>
                <c:pt idx="71">
                  <c:v>0.35969197340906855</c:v>
                </c:pt>
                <c:pt idx="72">
                  <c:v>0.38047372522505901</c:v>
                </c:pt>
                <c:pt idx="73">
                  <c:v>0.40148798872218705</c:v>
                </c:pt>
                <c:pt idx="74">
                  <c:v>0.41583441938823301</c:v>
                </c:pt>
                <c:pt idx="75">
                  <c:v>0.40666344184268827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9-443A-8C43-222D1C746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43583"/>
        <c:axId val="1991040223"/>
      </c:lineChart>
      <c:dateAx>
        <c:axId val="1991043583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1040223"/>
        <c:crosses val="autoZero"/>
        <c:auto val="1"/>
        <c:lblOffset val="100"/>
        <c:baseTimeUnit val="years"/>
      </c:dateAx>
      <c:valAx>
        <c:axId val="1991040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Capital (K)</a:t>
                </a:r>
                <a:r>
                  <a:rPr lang="en-US" baseline="0"/>
                  <a:t> Per Worker (L)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0836997274273064E-2"/>
              <c:y val="0.22773853746750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104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7684151910888"/>
          <c:y val="4.2105263157894736E-2"/>
          <c:w val="0.81231773276498598"/>
          <c:h val="0.8436493237388388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'Capital Deepening'!$A$3:$A$78</c:f>
              <c:numCache>
                <c:formatCode>m/d/yyyy</c:formatCode>
                <c:ptCount val="76"/>
                <c:pt idx="0">
                  <c:v>17533</c:v>
                </c:pt>
                <c:pt idx="1">
                  <c:v>17899</c:v>
                </c:pt>
                <c:pt idx="2">
                  <c:v>18264</c:v>
                </c:pt>
                <c:pt idx="3">
                  <c:v>18629</c:v>
                </c:pt>
                <c:pt idx="4">
                  <c:v>18994</c:v>
                </c:pt>
                <c:pt idx="5">
                  <c:v>19360</c:v>
                </c:pt>
                <c:pt idx="6">
                  <c:v>19725</c:v>
                </c:pt>
                <c:pt idx="7">
                  <c:v>20090</c:v>
                </c:pt>
                <c:pt idx="8">
                  <c:v>20455</c:v>
                </c:pt>
                <c:pt idx="9">
                  <c:v>20821</c:v>
                </c:pt>
                <c:pt idx="10">
                  <c:v>21186</c:v>
                </c:pt>
                <c:pt idx="11">
                  <c:v>21551</c:v>
                </c:pt>
                <c:pt idx="12">
                  <c:v>21916</c:v>
                </c:pt>
                <c:pt idx="13">
                  <c:v>22282</c:v>
                </c:pt>
                <c:pt idx="14">
                  <c:v>22647</c:v>
                </c:pt>
                <c:pt idx="15">
                  <c:v>23012</c:v>
                </c:pt>
                <c:pt idx="16">
                  <c:v>23377</c:v>
                </c:pt>
                <c:pt idx="17">
                  <c:v>23743</c:v>
                </c:pt>
                <c:pt idx="18">
                  <c:v>24108</c:v>
                </c:pt>
                <c:pt idx="19">
                  <c:v>24473</c:v>
                </c:pt>
                <c:pt idx="20">
                  <c:v>24838</c:v>
                </c:pt>
                <c:pt idx="21">
                  <c:v>25204</c:v>
                </c:pt>
                <c:pt idx="22">
                  <c:v>25569</c:v>
                </c:pt>
                <c:pt idx="23">
                  <c:v>25934</c:v>
                </c:pt>
                <c:pt idx="24">
                  <c:v>26299</c:v>
                </c:pt>
                <c:pt idx="25">
                  <c:v>26665</c:v>
                </c:pt>
                <c:pt idx="26">
                  <c:v>27030</c:v>
                </c:pt>
                <c:pt idx="27">
                  <c:v>27395</c:v>
                </c:pt>
                <c:pt idx="28">
                  <c:v>27760</c:v>
                </c:pt>
                <c:pt idx="29">
                  <c:v>28126</c:v>
                </c:pt>
                <c:pt idx="30">
                  <c:v>28491</c:v>
                </c:pt>
                <c:pt idx="31">
                  <c:v>28856</c:v>
                </c:pt>
                <c:pt idx="32">
                  <c:v>29221</c:v>
                </c:pt>
                <c:pt idx="33">
                  <c:v>29587</c:v>
                </c:pt>
                <c:pt idx="34">
                  <c:v>29952</c:v>
                </c:pt>
                <c:pt idx="35">
                  <c:v>30317</c:v>
                </c:pt>
                <c:pt idx="36">
                  <c:v>30682</c:v>
                </c:pt>
                <c:pt idx="37">
                  <c:v>31048</c:v>
                </c:pt>
                <c:pt idx="38">
                  <c:v>31413</c:v>
                </c:pt>
                <c:pt idx="39">
                  <c:v>31778</c:v>
                </c:pt>
                <c:pt idx="40">
                  <c:v>32143</c:v>
                </c:pt>
                <c:pt idx="41">
                  <c:v>32509</c:v>
                </c:pt>
                <c:pt idx="42">
                  <c:v>32874</c:v>
                </c:pt>
                <c:pt idx="43">
                  <c:v>33239</c:v>
                </c:pt>
                <c:pt idx="44">
                  <c:v>33604</c:v>
                </c:pt>
                <c:pt idx="45">
                  <c:v>33970</c:v>
                </c:pt>
                <c:pt idx="46">
                  <c:v>34335</c:v>
                </c:pt>
                <c:pt idx="47">
                  <c:v>34700</c:v>
                </c:pt>
                <c:pt idx="48">
                  <c:v>35065</c:v>
                </c:pt>
                <c:pt idx="49">
                  <c:v>35431</c:v>
                </c:pt>
                <c:pt idx="50">
                  <c:v>35796</c:v>
                </c:pt>
                <c:pt idx="51">
                  <c:v>36161</c:v>
                </c:pt>
                <c:pt idx="52">
                  <c:v>36526</c:v>
                </c:pt>
                <c:pt idx="53">
                  <c:v>36892</c:v>
                </c:pt>
                <c:pt idx="54">
                  <c:v>37257</c:v>
                </c:pt>
                <c:pt idx="55">
                  <c:v>37622</c:v>
                </c:pt>
                <c:pt idx="56">
                  <c:v>37987</c:v>
                </c:pt>
                <c:pt idx="57">
                  <c:v>38353</c:v>
                </c:pt>
                <c:pt idx="58">
                  <c:v>38718</c:v>
                </c:pt>
                <c:pt idx="59">
                  <c:v>39083</c:v>
                </c:pt>
                <c:pt idx="60">
                  <c:v>39448</c:v>
                </c:pt>
                <c:pt idx="61">
                  <c:v>39814</c:v>
                </c:pt>
                <c:pt idx="62">
                  <c:v>40179</c:v>
                </c:pt>
                <c:pt idx="63">
                  <c:v>40544</c:v>
                </c:pt>
                <c:pt idx="64">
                  <c:v>40909</c:v>
                </c:pt>
                <c:pt idx="65">
                  <c:v>41275</c:v>
                </c:pt>
                <c:pt idx="66">
                  <c:v>41640</c:v>
                </c:pt>
                <c:pt idx="67">
                  <c:v>42005</c:v>
                </c:pt>
                <c:pt idx="68">
                  <c:v>42370</c:v>
                </c:pt>
                <c:pt idx="69">
                  <c:v>42736</c:v>
                </c:pt>
                <c:pt idx="70">
                  <c:v>43101</c:v>
                </c:pt>
                <c:pt idx="71">
                  <c:v>43466</c:v>
                </c:pt>
                <c:pt idx="72">
                  <c:v>43831</c:v>
                </c:pt>
                <c:pt idx="73">
                  <c:v>44197</c:v>
                </c:pt>
                <c:pt idx="74">
                  <c:v>44562</c:v>
                </c:pt>
                <c:pt idx="75">
                  <c:v>44927</c:v>
                </c:pt>
              </c:numCache>
            </c:numRef>
          </c:cat>
          <c:val>
            <c:numRef>
              <c:f>'Capital Deepening'!$G$3:$G$78</c:f>
              <c:numCache>
                <c:formatCode>General</c:formatCode>
                <c:ptCount val="76"/>
                <c:pt idx="1">
                  <c:v>4.0312302822467672E-2</c:v>
                </c:pt>
                <c:pt idx="2">
                  <c:v>6.3905642960321751E-2</c:v>
                </c:pt>
                <c:pt idx="3">
                  <c:v>2.0918547494748418E-2</c:v>
                </c:pt>
                <c:pt idx="4">
                  <c:v>4.1031515931750473E-2</c:v>
                </c:pt>
                <c:pt idx="5">
                  <c:v>3.2688158538976442E-2</c:v>
                </c:pt>
                <c:pt idx="6">
                  <c:v>3.6082579349534738E-2</c:v>
                </c:pt>
                <c:pt idx="7">
                  <c:v>3.5009430408234898E-2</c:v>
                </c:pt>
                <c:pt idx="8">
                  <c:v>4.4747461645426645E-2</c:v>
                </c:pt>
                <c:pt idx="9">
                  <c:v>1.094667274351413E-2</c:v>
                </c:pt>
                <c:pt idx="10">
                  <c:v>2.1049459553637018E-3</c:v>
                </c:pt>
                <c:pt idx="11">
                  <c:v>8.3837673667475077E-3</c:v>
                </c:pt>
                <c:pt idx="12">
                  <c:v>-3.5452712821435473E-3</c:v>
                </c:pt>
                <c:pt idx="13">
                  <c:v>3.0715419455884074E-2</c:v>
                </c:pt>
                <c:pt idx="14">
                  <c:v>1.342527840480745E-2</c:v>
                </c:pt>
                <c:pt idx="15">
                  <c:v>-3.3038486872021267E-3</c:v>
                </c:pt>
                <c:pt idx="16">
                  <c:v>3.8312903233926665E-2</c:v>
                </c:pt>
                <c:pt idx="17">
                  <c:v>2.49106726902526E-2</c:v>
                </c:pt>
                <c:pt idx="18">
                  <c:v>2.8500182493355952E-2</c:v>
                </c:pt>
                <c:pt idx="19">
                  <c:v>1.6471096052694811E-2</c:v>
                </c:pt>
                <c:pt idx="20">
                  <c:v>4.0334097124246515E-2</c:v>
                </c:pt>
                <c:pt idx="21">
                  <c:v>-1.1768294829062054E-4</c:v>
                </c:pt>
                <c:pt idx="22">
                  <c:v>-1.4981444096235919E-3</c:v>
                </c:pt>
                <c:pt idx="23">
                  <c:v>4.9630202178404081E-2</c:v>
                </c:pt>
                <c:pt idx="24">
                  <c:v>3.8099247838039085E-2</c:v>
                </c:pt>
                <c:pt idx="25">
                  <c:v>9.1012764129865253E-3</c:v>
                </c:pt>
                <c:pt idx="26">
                  <c:v>2.8542388924185591E-2</c:v>
                </c:pt>
                <c:pt idx="27">
                  <c:v>1.3454266202557186E-3</c:v>
                </c:pt>
                <c:pt idx="28">
                  <c:v>1.6688996206677631E-2</c:v>
                </c:pt>
                <c:pt idx="29">
                  <c:v>3.1540120459846221E-2</c:v>
                </c:pt>
                <c:pt idx="30">
                  <c:v>1.5151911188466816E-2</c:v>
                </c:pt>
                <c:pt idx="31">
                  <c:v>-1.6351979075176493E-3</c:v>
                </c:pt>
                <c:pt idx="32">
                  <c:v>9.8959571339229946E-4</c:v>
                </c:pt>
                <c:pt idx="33">
                  <c:v>-5.7251110890221835E-4</c:v>
                </c:pt>
                <c:pt idx="34">
                  <c:v>-3.1952369597421093E-3</c:v>
                </c:pt>
                <c:pt idx="35">
                  <c:v>-1.2432609197977618E-2</c:v>
                </c:pt>
                <c:pt idx="36">
                  <c:v>-1.5729527811774169E-3</c:v>
                </c:pt>
                <c:pt idx="37">
                  <c:v>1.5255061806214165E-3</c:v>
                </c:pt>
                <c:pt idx="38">
                  <c:v>3.1122774872598846E-2</c:v>
                </c:pt>
                <c:pt idx="39">
                  <c:v>-1.9433806256261565E-3</c:v>
                </c:pt>
                <c:pt idx="40">
                  <c:v>3.1989407681065618E-3</c:v>
                </c:pt>
                <c:pt idx="41">
                  <c:v>-4.317619493585223E-3</c:v>
                </c:pt>
                <c:pt idx="42">
                  <c:v>-2.7715973856728859E-2</c:v>
                </c:pt>
                <c:pt idx="43">
                  <c:v>-1.1353701204020794E-2</c:v>
                </c:pt>
                <c:pt idx="44">
                  <c:v>-2.7591200857158826E-3</c:v>
                </c:pt>
                <c:pt idx="45">
                  <c:v>1.2663068806940014E-2</c:v>
                </c:pt>
                <c:pt idx="46">
                  <c:v>1.8893621668901739E-2</c:v>
                </c:pt>
                <c:pt idx="47">
                  <c:v>1.9002054460964812E-2</c:v>
                </c:pt>
                <c:pt idx="48">
                  <c:v>-2.7762538693992811E-3</c:v>
                </c:pt>
                <c:pt idx="49">
                  <c:v>2.2734560406044269E-2</c:v>
                </c:pt>
                <c:pt idx="50">
                  <c:v>3.2645152038428105E-2</c:v>
                </c:pt>
                <c:pt idx="51">
                  <c:v>2.7417348864982705E-2</c:v>
                </c:pt>
                <c:pt idx="52">
                  <c:v>1.176949661547666E-2</c:v>
                </c:pt>
                <c:pt idx="53">
                  <c:v>3.577919129518814E-2</c:v>
                </c:pt>
                <c:pt idx="54">
                  <c:v>1.9083485263374111E-2</c:v>
                </c:pt>
                <c:pt idx="55">
                  <c:v>2.4244943332564661E-2</c:v>
                </c:pt>
                <c:pt idx="56">
                  <c:v>5.5534781450132575E-2</c:v>
                </c:pt>
                <c:pt idx="57">
                  <c:v>5.2864846625984896E-2</c:v>
                </c:pt>
                <c:pt idx="58">
                  <c:v>3.0797411694595045E-2</c:v>
                </c:pt>
                <c:pt idx="59">
                  <c:v>-1.3388604437894802E-2</c:v>
                </c:pt>
                <c:pt idx="60">
                  <c:v>1.9685399336344611E-2</c:v>
                </c:pt>
                <c:pt idx="61">
                  <c:v>-4.2681577772822332E-2</c:v>
                </c:pt>
                <c:pt idx="62">
                  <c:v>-3.9655117593699885E-3</c:v>
                </c:pt>
                <c:pt idx="63">
                  <c:v>-4.4294508723397019E-3</c:v>
                </c:pt>
                <c:pt idx="64">
                  <c:v>2.9094771582323098E-3</c:v>
                </c:pt>
                <c:pt idx="65">
                  <c:v>4.1472982371274059E-2</c:v>
                </c:pt>
                <c:pt idx="66">
                  <c:v>3.2283938914392074E-2</c:v>
                </c:pt>
                <c:pt idx="67">
                  <c:v>1.0394764051245176E-2</c:v>
                </c:pt>
                <c:pt idx="68">
                  <c:v>1.5023371574954592E-2</c:v>
                </c:pt>
                <c:pt idx="69">
                  <c:v>1.5673287699779381E-2</c:v>
                </c:pt>
                <c:pt idx="70">
                  <c:v>1.4744900480206491E-2</c:v>
                </c:pt>
                <c:pt idx="71">
                  <c:v>9.2239433964753648E-3</c:v>
                </c:pt>
                <c:pt idx="72">
                  <c:v>5.7776523671146496E-2</c:v>
                </c:pt>
                <c:pt idx="73">
                  <c:v>5.5231838899512997E-2</c:v>
                </c:pt>
                <c:pt idx="74">
                  <c:v>3.5733150353280063E-2</c:v>
                </c:pt>
                <c:pt idx="75">
                  <c:v>-2.2054397418657445E-2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F-47B0-BD3F-CE6A2DFA2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43583"/>
        <c:axId val="1991040223"/>
      </c:lineChart>
      <c:dateAx>
        <c:axId val="1991043583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1040223"/>
        <c:crosses val="autoZero"/>
        <c:auto val="1"/>
        <c:lblOffset val="100"/>
        <c:baseTimeUnit val="years"/>
      </c:dateAx>
      <c:valAx>
        <c:axId val="1991040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Annual % Change In Capital (K)</a:t>
                </a:r>
                <a:r>
                  <a:rPr lang="en-US" baseline="0"/>
                  <a:t> Per Worker (L)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02642662448076E-2"/>
              <c:y val="0.10024880382775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104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</xdr:colOff>
      <xdr:row>2</xdr:row>
      <xdr:rowOff>76200</xdr:rowOff>
    </xdr:from>
    <xdr:to>
      <xdr:col>15</xdr:col>
      <xdr:colOff>114300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A498E-E7BC-4140-A477-5F17C0A9A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406400</xdr:colOff>
      <xdr:row>2</xdr:row>
      <xdr:rowOff>152400</xdr:rowOff>
    </xdr:from>
    <xdr:to>
      <xdr:col>22</xdr:col>
      <xdr:colOff>463551</xdr:colOff>
      <xdr:row>20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362A9-F59A-4F4E-B592-CB3F1DD03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0.31424</cdr:x>
      <cdr:y>0.02488</cdr:y>
    </cdr:from>
    <cdr:to>
      <cdr:x>0.31424</cdr:x>
      <cdr:y>0.89512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AFC7AF0C-BC1A-D3F1-247C-E9503B5824CF}"/>
            </a:ext>
          </a:extLst>
        </cdr:cNvPr>
        <cdr:cNvCxnSpPr/>
      </cdr:nvCxnSpPr>
      <cdr:spPr>
        <a:xfrm xmlns:a="http://schemas.openxmlformats.org/drawingml/2006/main" flipV="1">
          <a:off x="1358900" y="82550"/>
          <a:ext cx="0" cy="288733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0.20117</cdr:x>
      <cdr:y>0.03636</cdr:y>
    </cdr:from>
    <cdr:to>
      <cdr:x>0.32484</cdr:x>
      <cdr:y>0.17178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ED836ED-A74D-000B-AF1A-67FC778AB499}"/>
            </a:ext>
          </a:extLst>
        </cdr:cNvPr>
        <cdr:cNvSpPr txBox="1"/>
      </cdr:nvSpPr>
      <cdr:spPr>
        <a:xfrm xmlns:a="http://schemas.openxmlformats.org/drawingml/2006/main">
          <a:off x="869950" y="120650"/>
          <a:ext cx="534786" cy="44930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1962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Revenue 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Act</a:t>
          </a:r>
        </a:p>
      </cdr:txBody>
    </cdr:sp>
  </cdr:relSizeAnchor>
  <cdr:relSizeAnchor xmlns:cdr="http://schemas.openxmlformats.org/drawingml/2006/chartDrawing">
    <cdr:from>
      <cdr:x>0.40529</cdr:x>
      <cdr:y>0.02488</cdr:y>
    </cdr:from>
    <cdr:to>
      <cdr:x>0.40529</cdr:x>
      <cdr:y>0.89512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1AC4D120-8AB1-921A-FFC9-C71C529304B0}"/>
            </a:ext>
          </a:extLst>
        </cdr:cNvPr>
        <cdr:cNvCxnSpPr/>
      </cdr:nvCxnSpPr>
      <cdr:spPr>
        <a:xfrm xmlns:a="http://schemas.openxmlformats.org/drawingml/2006/main" flipV="1">
          <a:off x="1752600" y="82550"/>
          <a:ext cx="0" cy="288733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0.56388</cdr:x>
      <cdr:y>0.02297</cdr:y>
    </cdr:from>
    <cdr:to>
      <cdr:x>0.56388</cdr:x>
      <cdr:y>0.8932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655B8C72-2750-51C8-3191-538D2C215188}"/>
            </a:ext>
          </a:extLst>
        </cdr:cNvPr>
        <cdr:cNvCxnSpPr/>
      </cdr:nvCxnSpPr>
      <cdr:spPr>
        <a:xfrm xmlns:a="http://schemas.openxmlformats.org/drawingml/2006/main" flipV="1">
          <a:off x="2438400" y="76200"/>
          <a:ext cx="0" cy="288733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0.51101</cdr:x>
      <cdr:y>0.02488</cdr:y>
    </cdr:from>
    <cdr:to>
      <cdr:x>0.51101</cdr:x>
      <cdr:y>0.89512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2FB293C1-BFF5-F0DA-6989-3C5089A24BE6}"/>
            </a:ext>
          </a:extLst>
        </cdr:cNvPr>
        <cdr:cNvCxnSpPr/>
      </cdr:nvCxnSpPr>
      <cdr:spPr>
        <a:xfrm xmlns:a="http://schemas.openxmlformats.org/drawingml/2006/main" flipV="1">
          <a:off x="2209800" y="82550"/>
          <a:ext cx="0" cy="288733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0.90015</cdr:x>
      <cdr:y>0.01722</cdr:y>
    </cdr:from>
    <cdr:to>
      <cdr:x>0.90015</cdr:x>
      <cdr:y>0.88746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90EF0845-1AD4-019F-001D-3CF0F8037525}"/>
            </a:ext>
          </a:extLst>
        </cdr:cNvPr>
        <cdr:cNvCxnSpPr/>
      </cdr:nvCxnSpPr>
      <cdr:spPr>
        <a:xfrm xmlns:a="http://schemas.openxmlformats.org/drawingml/2006/main" flipV="1">
          <a:off x="3892550" y="57150"/>
          <a:ext cx="0" cy="288733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0.74743</cdr:x>
      <cdr:y>0.02297</cdr:y>
    </cdr:from>
    <cdr:to>
      <cdr:x>0.74743</cdr:x>
      <cdr:y>0.8932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659662DA-A0D7-FAC8-6B0C-1688C09190FC}"/>
            </a:ext>
          </a:extLst>
        </cdr:cNvPr>
        <cdr:cNvCxnSpPr/>
      </cdr:nvCxnSpPr>
      <cdr:spPr>
        <a:xfrm xmlns:a="http://schemas.openxmlformats.org/drawingml/2006/main" flipV="1">
          <a:off x="3232150" y="76200"/>
          <a:ext cx="0" cy="288733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0.61968</cdr:x>
      <cdr:y>0.02871</cdr:y>
    </cdr:from>
    <cdr:to>
      <cdr:x>0.7539</cdr:x>
      <cdr:y>0.16412</cdr:y>
    </cdr:to>
    <cdr:sp macro="" textlink="">
      <cdr:nvSpPr>
        <cdr:cNvPr id="13" name="TextBox 3">
          <a:extLst xmlns:a="http://schemas.openxmlformats.org/drawingml/2006/main">
            <a:ext uri="{FF2B5EF4-FFF2-40B4-BE49-F238E27FC236}">
              <a16:creationId xmlns:a16="http://schemas.microsoft.com/office/drawing/2014/main" id="{0CED92C9-FDC0-EE7A-6DC6-13CA0D8E3D5A}"/>
            </a:ext>
          </a:extLst>
        </cdr:cNvPr>
        <cdr:cNvSpPr txBox="1"/>
      </cdr:nvSpPr>
      <cdr:spPr>
        <a:xfrm xmlns:a="http://schemas.openxmlformats.org/drawingml/2006/main">
          <a:off x="2679700" y="95250"/>
          <a:ext cx="580409" cy="44927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EGTRRA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Partial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Expensing</a:t>
          </a:r>
        </a:p>
      </cdr:txBody>
    </cdr:sp>
  </cdr:relSizeAnchor>
  <cdr:relSizeAnchor xmlns:cdr="http://schemas.openxmlformats.org/drawingml/2006/chartDrawing">
    <cdr:from>
      <cdr:x>0.82085</cdr:x>
      <cdr:y>0.04593</cdr:y>
    </cdr:from>
    <cdr:to>
      <cdr:x>0.91422</cdr:x>
      <cdr:y>0.14555</cdr:y>
    </cdr:to>
    <cdr:sp macro="" textlink="">
      <cdr:nvSpPr>
        <cdr:cNvPr id="14" name="TextBox 3">
          <a:extLst xmlns:a="http://schemas.openxmlformats.org/drawingml/2006/main">
            <a:ext uri="{FF2B5EF4-FFF2-40B4-BE49-F238E27FC236}">
              <a16:creationId xmlns:a16="http://schemas.microsoft.com/office/drawing/2014/main" id="{0F0E0545-575C-3AB6-D1B1-AD51E3FD300B}"/>
            </a:ext>
          </a:extLst>
        </cdr:cNvPr>
        <cdr:cNvSpPr txBox="1"/>
      </cdr:nvSpPr>
      <cdr:spPr>
        <a:xfrm xmlns:a="http://schemas.openxmlformats.org/drawingml/2006/main">
          <a:off x="3549650" y="152400"/>
          <a:ext cx="403745" cy="3305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2017</a:t>
          </a:r>
          <a:r>
            <a:rPr lang="en-US" sz="8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TCJA</a:t>
          </a:r>
        </a:p>
      </cdr:txBody>
    </cdr:sp>
  </cdr:relSizeAnchor>
  <cdr:relSizeAnchor xmlns:cdr="http://schemas.openxmlformats.org/drawingml/2006/chartDrawing">
    <cdr:from>
      <cdr:x>0.30984</cdr:x>
      <cdr:y>0.04785</cdr:y>
    </cdr:from>
    <cdr:to>
      <cdr:x>0.42793</cdr:x>
      <cdr:y>0.18327</cdr:y>
    </cdr:to>
    <cdr:sp macro="" textlink="">
      <cdr:nvSpPr>
        <cdr:cNvPr id="15" name="TextBox 5">
          <a:extLst xmlns:a="http://schemas.openxmlformats.org/drawingml/2006/main">
            <a:ext uri="{FF2B5EF4-FFF2-40B4-BE49-F238E27FC236}">
              <a16:creationId xmlns:a16="http://schemas.microsoft.com/office/drawing/2014/main" id="{E507BC00-3D27-A910-3E38-44372C8F16DB}"/>
            </a:ext>
          </a:extLst>
        </cdr:cNvPr>
        <cdr:cNvSpPr txBox="1"/>
      </cdr:nvSpPr>
      <cdr:spPr>
        <a:xfrm xmlns:a="http://schemas.openxmlformats.org/drawingml/2006/main">
          <a:off x="1339850" y="158750"/>
          <a:ext cx="510653" cy="4493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1971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Revenue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Act</a:t>
          </a:r>
        </a:p>
      </cdr:txBody>
    </cdr:sp>
  </cdr:relSizeAnchor>
  <cdr:relSizeAnchor xmlns:cdr="http://schemas.openxmlformats.org/drawingml/2006/chartDrawing">
    <cdr:from>
      <cdr:x>0.42584</cdr:x>
      <cdr:y>0.04976</cdr:y>
    </cdr:from>
    <cdr:to>
      <cdr:x>0.52414</cdr:x>
      <cdr:y>0.14939</cdr:y>
    </cdr:to>
    <cdr:sp macro="" textlink="">
      <cdr:nvSpPr>
        <cdr:cNvPr id="16" name="TextBox 5">
          <a:extLst xmlns:a="http://schemas.openxmlformats.org/drawingml/2006/main">
            <a:ext uri="{FF2B5EF4-FFF2-40B4-BE49-F238E27FC236}">
              <a16:creationId xmlns:a16="http://schemas.microsoft.com/office/drawing/2014/main" id="{93C961C2-2F99-930C-DD64-556886FA8B3E}"/>
            </a:ext>
          </a:extLst>
        </cdr:cNvPr>
        <cdr:cNvSpPr txBox="1"/>
      </cdr:nvSpPr>
      <cdr:spPr>
        <a:xfrm xmlns:a="http://schemas.openxmlformats.org/drawingml/2006/main">
          <a:off x="1841500" y="165100"/>
          <a:ext cx="425065" cy="33054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1981 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ERTA</a:t>
          </a:r>
        </a:p>
      </cdr:txBody>
    </cdr:sp>
  </cdr:relSizeAnchor>
  <cdr:relSizeAnchor xmlns:cdr="http://schemas.openxmlformats.org/drawingml/2006/chartDrawing">
    <cdr:from>
      <cdr:x>0.49633</cdr:x>
      <cdr:y>0.04593</cdr:y>
    </cdr:from>
    <cdr:to>
      <cdr:x>0.58659</cdr:x>
      <cdr:y>0.14555</cdr:y>
    </cdr:to>
    <cdr:sp macro="" textlink="">
      <cdr:nvSpPr>
        <cdr:cNvPr id="17" name="TextBox 5">
          <a:extLst xmlns:a="http://schemas.openxmlformats.org/drawingml/2006/main">
            <a:ext uri="{FF2B5EF4-FFF2-40B4-BE49-F238E27FC236}">
              <a16:creationId xmlns:a16="http://schemas.microsoft.com/office/drawing/2014/main" id="{ED6544F9-FDD8-CE75-986F-1E2B7B1CA532}"/>
            </a:ext>
          </a:extLst>
        </cdr:cNvPr>
        <cdr:cNvSpPr txBox="1"/>
      </cdr:nvSpPr>
      <cdr:spPr>
        <a:xfrm xmlns:a="http://schemas.openxmlformats.org/drawingml/2006/main">
          <a:off x="2146300" y="152400"/>
          <a:ext cx="390342" cy="33051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1986 </a:t>
          </a:r>
        </a:p>
        <a:p xmlns:a="http://schemas.openxmlformats.org/drawingml/2006/main">
          <a:r>
            <a:rPr lang="en-US" sz="800">
              <a:latin typeface="Times New Roman" panose="02020603050405020304" pitchFamily="18" charset="0"/>
              <a:cs typeface="Times New Roman" panose="02020603050405020304" pitchFamily="18" charset="0"/>
            </a:rPr>
            <a:t>TRA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pada\Dropbox\tcja\tcja_project\tcja\data\downloads\UCC%20versus%20Investment%2011282024.xlsx" TargetMode="External"/><Relationship Id="rId1" Type="http://schemas.openxmlformats.org/officeDocument/2006/relationships/externalLinkPath" Target="/Users/jspada/Dropbox/tcja/tcja_project/tcja/data/downloads/UCC%20versus%20Investment%20112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ression Input"/>
      <sheetName val="2018_Asset_UCC"/>
      <sheetName val="2016_Asset_UCC"/>
      <sheetName val="Detailed I over K"/>
      <sheetName val="Detailed I"/>
      <sheetName val="Detailed K"/>
      <sheetName val="Aggregate I over K"/>
      <sheetName val="Tax Revenues"/>
      <sheetName val="Capital Deepening"/>
      <sheetName val="I By Type 1901-2022 BEA FA Tabl"/>
      <sheetName val="K By Type 1925-2022 BEA FA Tabl"/>
      <sheetName val="Corp Tax Revenue"/>
      <sheetName val="Nominal GDP"/>
      <sheetName val="2018_Industry_UCC"/>
      <sheetName val="2016_Industry_UCC"/>
      <sheetName val="PredictIt corp tax 2022"/>
      <sheetName val="PredictIt corp tax 2022 RAW"/>
      <sheetName val="2017 and 2018 corptax PredictIt"/>
      <sheetName val="PredictIt Corp Tax Cut 2017 RAW"/>
      <sheetName val="PredictIt Corp Tax Mar 2018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17533</v>
          </cell>
          <cell r="F3">
            <v>0.11798861223883704</v>
          </cell>
        </row>
        <row r="4">
          <cell r="A4">
            <v>17899</v>
          </cell>
          <cell r="F4">
            <v>0.12274500490501175</v>
          </cell>
          <cell r="G4">
            <v>4.0312302822467672E-2</v>
          </cell>
        </row>
        <row r="5">
          <cell r="A5">
            <v>18264</v>
          </cell>
          <cell r="F5">
            <v>0.13058910336363438</v>
          </cell>
          <cell r="G5">
            <v>6.3905642960321751E-2</v>
          </cell>
        </row>
        <row r="6">
          <cell r="A6">
            <v>18629</v>
          </cell>
          <cell r="F6">
            <v>0.13332083772464318</v>
          </cell>
          <cell r="G6">
            <v>2.0918547494748418E-2</v>
          </cell>
        </row>
        <row r="7">
          <cell r="A7">
            <v>18994</v>
          </cell>
          <cell r="F7">
            <v>0.13879119380177618</v>
          </cell>
          <cell r="G7">
            <v>4.1031515931750473E-2</v>
          </cell>
        </row>
        <row r="8">
          <cell r="A8">
            <v>19360</v>
          </cell>
          <cell r="F8">
            <v>0.14332802234858244</v>
          </cell>
          <cell r="G8">
            <v>3.2688158538976442E-2</v>
          </cell>
        </row>
        <row r="9">
          <cell r="A9">
            <v>19725</v>
          </cell>
          <cell r="F9">
            <v>0.14849966708798706</v>
          </cell>
          <cell r="G9">
            <v>3.6082579349534738E-2</v>
          </cell>
        </row>
        <row r="10">
          <cell r="A10">
            <v>20090</v>
          </cell>
          <cell r="F10">
            <v>0.15369855584854999</v>
          </cell>
          <cell r="G10">
            <v>3.5009430408234898E-2</v>
          </cell>
        </row>
        <row r="11">
          <cell r="A11">
            <v>20455</v>
          </cell>
          <cell r="F11">
            <v>0.16057617608134045</v>
          </cell>
          <cell r="G11">
            <v>4.4747461645426645E-2</v>
          </cell>
        </row>
        <row r="12">
          <cell r="A12">
            <v>20821</v>
          </cell>
          <cell r="F12">
            <v>0.16233395093130779</v>
          </cell>
          <cell r="G12">
            <v>1.094667274351413E-2</v>
          </cell>
        </row>
        <row r="13">
          <cell r="A13">
            <v>21186</v>
          </cell>
          <cell r="F13">
            <v>0.16267565512473886</v>
          </cell>
          <cell r="G13">
            <v>2.1049459553637018E-3</v>
          </cell>
        </row>
        <row r="14">
          <cell r="A14">
            <v>21551</v>
          </cell>
          <cell r="F14">
            <v>0.16403948997353793</v>
          </cell>
          <cell r="G14">
            <v>8.3837673667475077E-3</v>
          </cell>
        </row>
        <row r="15">
          <cell r="A15">
            <v>21916</v>
          </cell>
          <cell r="F15">
            <v>0.16345792548059726</v>
          </cell>
          <cell r="G15">
            <v>-3.5452712821435473E-3</v>
          </cell>
        </row>
        <row r="16">
          <cell r="A16">
            <v>22282</v>
          </cell>
          <cell r="F16">
            <v>0.16847860422512245</v>
          </cell>
          <cell r="G16">
            <v>3.0715419455884074E-2</v>
          </cell>
        </row>
        <row r="17">
          <cell r="A17">
            <v>22647</v>
          </cell>
          <cell r="F17">
            <v>0.17074047639209808</v>
          </cell>
          <cell r="G17">
            <v>1.342527840480745E-2</v>
          </cell>
        </row>
        <row r="18">
          <cell r="A18">
            <v>23012</v>
          </cell>
          <cell r="F18">
            <v>0.17017637569331778</v>
          </cell>
          <cell r="G18">
            <v>-3.3038486872021267E-3</v>
          </cell>
        </row>
        <row r="19">
          <cell r="A19">
            <v>23377</v>
          </cell>
          <cell r="F19">
            <v>0.17669632670795621</v>
          </cell>
          <cell r="G19">
            <v>3.8312903233926665E-2</v>
          </cell>
        </row>
        <row r="20">
          <cell r="A20">
            <v>23743</v>
          </cell>
          <cell r="F20">
            <v>0.18109795106814805</v>
          </cell>
          <cell r="G20">
            <v>2.49106726902526E-2</v>
          </cell>
        </row>
        <row r="21">
          <cell r="A21">
            <v>24108</v>
          </cell>
          <cell r="F21">
            <v>0.1862592757227631</v>
          </cell>
          <cell r="G21">
            <v>2.8500182493355952E-2</v>
          </cell>
        </row>
        <row r="22">
          <cell r="A22">
            <v>24473</v>
          </cell>
          <cell r="F22">
            <v>0.1893271701438981</v>
          </cell>
          <cell r="G22">
            <v>1.6471096052694811E-2</v>
          </cell>
        </row>
        <row r="23">
          <cell r="A23">
            <v>24838</v>
          </cell>
          <cell r="F23">
            <v>0.19696351061274084</v>
          </cell>
          <cell r="G23">
            <v>4.0334097124246515E-2</v>
          </cell>
        </row>
        <row r="24">
          <cell r="A24">
            <v>25204</v>
          </cell>
          <cell r="F24">
            <v>0.19694033136610625</v>
          </cell>
          <cell r="G24">
            <v>-1.1768294829062054E-4</v>
          </cell>
        </row>
        <row r="25">
          <cell r="A25">
            <v>25569</v>
          </cell>
          <cell r="F25">
            <v>0.1966452863096407</v>
          </cell>
          <cell r="G25">
            <v>-1.4981444096235919E-3</v>
          </cell>
        </row>
        <row r="26">
          <cell r="A26">
            <v>25934</v>
          </cell>
          <cell r="F26">
            <v>0.20640483162661832</v>
          </cell>
          <cell r="G26">
            <v>4.9630202178404081E-2</v>
          </cell>
        </row>
        <row r="27">
          <cell r="A27">
            <v>26299</v>
          </cell>
          <cell r="F27">
            <v>0.21426870046172961</v>
          </cell>
          <cell r="G27">
            <v>3.8099247838039085E-2</v>
          </cell>
        </row>
        <row r="28">
          <cell r="A28">
            <v>26665</v>
          </cell>
          <cell r="F28">
            <v>0.21621881913128324</v>
          </cell>
          <cell r="G28">
            <v>9.1012764129865253E-3</v>
          </cell>
        </row>
        <row r="29">
          <cell r="A29">
            <v>27030</v>
          </cell>
          <cell r="F29">
            <v>0.22239022075965645</v>
          </cell>
          <cell r="G29">
            <v>2.8542388924185591E-2</v>
          </cell>
        </row>
        <row r="30">
          <cell r="A30">
            <v>27395</v>
          </cell>
          <cell r="F30">
            <v>0.22268943048275106</v>
          </cell>
          <cell r="G30">
            <v>1.3454266202557186E-3</v>
          </cell>
        </row>
        <row r="31">
          <cell r="A31">
            <v>27760</v>
          </cell>
          <cell r="F31">
            <v>0.22640589354334489</v>
          </cell>
          <cell r="G31">
            <v>1.6688996206677631E-2</v>
          </cell>
        </row>
        <row r="32">
          <cell r="A32">
            <v>28126</v>
          </cell>
          <cell r="F32">
            <v>0.23354676269852109</v>
          </cell>
          <cell r="G32">
            <v>3.1540120459846221E-2</v>
          </cell>
        </row>
        <row r="33">
          <cell r="A33">
            <v>28491</v>
          </cell>
          <cell r="F33">
            <v>0.23708544250528304</v>
          </cell>
          <cell r="G33">
            <v>1.5151911188466816E-2</v>
          </cell>
        </row>
        <row r="34">
          <cell r="A34">
            <v>28856</v>
          </cell>
          <cell r="F34">
            <v>0.2366977608857955</v>
          </cell>
          <cell r="G34">
            <v>-1.6351979075176493E-3</v>
          </cell>
        </row>
        <row r="35">
          <cell r="A35">
            <v>29221</v>
          </cell>
          <cell r="F35">
            <v>0.23693199597533762</v>
          </cell>
          <cell r="G35">
            <v>9.8959571339229946E-4</v>
          </cell>
        </row>
        <row r="36">
          <cell r="A36">
            <v>29587</v>
          </cell>
          <cell r="F36">
            <v>0.23679634977558736</v>
          </cell>
          <cell r="G36">
            <v>-5.7251110890221835E-4</v>
          </cell>
        </row>
        <row r="37">
          <cell r="A37">
            <v>29952</v>
          </cell>
          <cell r="F37">
            <v>0.23603972932685238</v>
          </cell>
          <cell r="G37">
            <v>-3.1952369597421093E-3</v>
          </cell>
        </row>
        <row r="38">
          <cell r="A38">
            <v>30317</v>
          </cell>
          <cell r="F38">
            <v>0.23310513961693521</v>
          </cell>
          <cell r="G38">
            <v>-1.2432609197977618E-2</v>
          </cell>
        </row>
        <row r="39">
          <cell r="A39">
            <v>30682</v>
          </cell>
          <cell r="F39">
            <v>0.23273847623926799</v>
          </cell>
          <cell r="G39">
            <v>-1.5729527811774169E-3</v>
          </cell>
        </row>
        <row r="40">
          <cell r="A40">
            <v>31048</v>
          </cell>
          <cell r="F40">
            <v>0.2330935202232394</v>
          </cell>
          <cell r="G40">
            <v>1.5255061806214165E-3</v>
          </cell>
        </row>
        <row r="41">
          <cell r="A41">
            <v>31413</v>
          </cell>
          <cell r="F41">
            <v>0.24034803737740887</v>
          </cell>
          <cell r="G41">
            <v>3.1122774872598846E-2</v>
          </cell>
        </row>
        <row r="42">
          <cell r="A42">
            <v>31778</v>
          </cell>
          <cell r="F42">
            <v>0.23988094965816234</v>
          </cell>
          <cell r="G42">
            <v>-1.9433806256261565E-3</v>
          </cell>
        </row>
        <row r="43">
          <cell r="A43">
            <v>32143</v>
          </cell>
          <cell r="F43">
            <v>0.24064831460751593</v>
          </cell>
          <cell r="G43">
            <v>3.1989407681065618E-3</v>
          </cell>
        </row>
        <row r="44">
          <cell r="A44">
            <v>32509</v>
          </cell>
          <cell r="F44">
            <v>0.23960928675326809</v>
          </cell>
          <cell r="G44">
            <v>-4.317619493585223E-3</v>
          </cell>
        </row>
        <row r="45">
          <cell r="A45">
            <v>32874</v>
          </cell>
          <cell r="F45">
            <v>0.23296828202578507</v>
          </cell>
          <cell r="G45">
            <v>-2.7715973856728859E-2</v>
          </cell>
        </row>
        <row r="46">
          <cell r="A46">
            <v>33239</v>
          </cell>
          <cell r="F46">
            <v>0.23032322976165026</v>
          </cell>
          <cell r="G46">
            <v>-1.1353701204020794E-2</v>
          </cell>
        </row>
        <row r="47">
          <cell r="A47">
            <v>33604</v>
          </cell>
          <cell r="F47">
            <v>0.22968774031220793</v>
          </cell>
          <cell r="G47">
            <v>-2.7591200857158826E-3</v>
          </cell>
        </row>
        <row r="48">
          <cell r="A48">
            <v>33970</v>
          </cell>
          <cell r="F48">
            <v>0.23259629197189197</v>
          </cell>
          <cell r="G48">
            <v>1.2663068806940014E-2</v>
          </cell>
        </row>
        <row r="49">
          <cell r="A49">
            <v>34335</v>
          </cell>
          <cell r="F49">
            <v>0.23699087831399832</v>
          </cell>
          <cell r="G49">
            <v>1.8893621668901739E-2</v>
          </cell>
        </row>
        <row r="50">
          <cell r="A50">
            <v>34700</v>
          </cell>
          <cell r="F50">
            <v>0.24149419189047278</v>
          </cell>
          <cell r="G50">
            <v>1.9002054460964812E-2</v>
          </cell>
        </row>
        <row r="51">
          <cell r="A51">
            <v>35065</v>
          </cell>
          <cell r="F51">
            <v>0.2408237427057994</v>
          </cell>
          <cell r="G51">
            <v>-2.7762538693992811E-3</v>
          </cell>
        </row>
        <row r="52">
          <cell r="A52">
            <v>35431</v>
          </cell>
          <cell r="F52">
            <v>0.24629876463155403</v>
          </cell>
          <cell r="G52">
            <v>2.2734560406044269E-2</v>
          </cell>
        </row>
        <row r="53">
          <cell r="A53">
            <v>35796</v>
          </cell>
          <cell r="F53">
            <v>0.25433922524982816</v>
          </cell>
          <cell r="G53">
            <v>3.2645152038428105E-2</v>
          </cell>
        </row>
        <row r="54">
          <cell r="A54">
            <v>36161</v>
          </cell>
          <cell r="F54">
            <v>0.26131253251855213</v>
          </cell>
          <cell r="G54">
            <v>2.7417348864982705E-2</v>
          </cell>
        </row>
        <row r="55">
          <cell r="A55">
            <v>36526</v>
          </cell>
          <cell r="F55">
            <v>0.26438804948561084</v>
          </cell>
          <cell r="G55">
            <v>1.176949661547666E-2</v>
          </cell>
        </row>
        <row r="56">
          <cell r="A56">
            <v>36892</v>
          </cell>
          <cell r="F56">
            <v>0.27384764008431817</v>
          </cell>
          <cell r="G56">
            <v>3.577919129518814E-2</v>
          </cell>
        </row>
        <row r="57">
          <cell r="A57">
            <v>37257</v>
          </cell>
          <cell r="F57">
            <v>0.27907360748827703</v>
          </cell>
          <cell r="G57">
            <v>1.9083485263374111E-2</v>
          </cell>
        </row>
        <row r="58">
          <cell r="A58">
            <v>37622</v>
          </cell>
          <cell r="F58">
            <v>0.28583973128744472</v>
          </cell>
          <cell r="G58">
            <v>2.4244943332564661E-2</v>
          </cell>
        </row>
        <row r="59">
          <cell r="A59">
            <v>37987</v>
          </cell>
          <cell r="F59">
            <v>0.30171377829425761</v>
          </cell>
          <cell r="G59">
            <v>5.5534781450132575E-2</v>
          </cell>
        </row>
        <row r="60">
          <cell r="A60">
            <v>38353</v>
          </cell>
          <cell r="F60">
            <v>0.31766383090872996</v>
          </cell>
          <cell r="G60">
            <v>5.2864846625984896E-2</v>
          </cell>
        </row>
        <row r="61">
          <cell r="A61">
            <v>38718</v>
          </cell>
          <cell r="F61">
            <v>0.32744705468970836</v>
          </cell>
          <cell r="G61">
            <v>3.0797411694595045E-2</v>
          </cell>
        </row>
        <row r="62">
          <cell r="A62">
            <v>39083</v>
          </cell>
          <cell r="F62">
            <v>0.32306299560011414</v>
          </cell>
          <cell r="G62">
            <v>-1.3388604437894802E-2</v>
          </cell>
        </row>
        <row r="63">
          <cell r="A63">
            <v>39448</v>
          </cell>
          <cell r="F63">
            <v>0.32942261967929815</v>
          </cell>
          <cell r="G63">
            <v>1.9685399336344611E-2</v>
          </cell>
        </row>
        <row r="64">
          <cell r="A64">
            <v>39814</v>
          </cell>
          <cell r="F64">
            <v>0.31536234251732931</v>
          </cell>
          <cell r="G64">
            <v>-4.2681577772822332E-2</v>
          </cell>
        </row>
        <row r="65">
          <cell r="A65">
            <v>40179</v>
          </cell>
          <cell r="F65">
            <v>0.31411176943961439</v>
          </cell>
          <cell r="G65">
            <v>-3.9655117593699885E-3</v>
          </cell>
        </row>
        <row r="66">
          <cell r="A66">
            <v>40544</v>
          </cell>
          <cell r="F66">
            <v>0.31272042678845791</v>
          </cell>
          <cell r="G66">
            <v>-4.4294508723397019E-3</v>
          </cell>
        </row>
        <row r="67">
          <cell r="A67">
            <v>40909</v>
          </cell>
          <cell r="F67">
            <v>0.3136302797271116</v>
          </cell>
          <cell r="G67">
            <v>2.9094771582323098E-3</v>
          </cell>
        </row>
        <row r="68">
          <cell r="A68">
            <v>41275</v>
          </cell>
          <cell r="F68">
            <v>0.32663746278933187</v>
          </cell>
          <cell r="G68">
            <v>4.1472982371274059E-2</v>
          </cell>
        </row>
        <row r="69">
          <cell r="A69">
            <v>41640</v>
          </cell>
          <cell r="F69">
            <v>0.33718260668517469</v>
          </cell>
          <cell r="G69">
            <v>3.2283938914392074E-2</v>
          </cell>
        </row>
        <row r="70">
          <cell r="A70">
            <v>42005</v>
          </cell>
          <cell r="F70">
            <v>0.3406875403238509</v>
          </cell>
          <cell r="G70">
            <v>1.0394764051245176E-2</v>
          </cell>
        </row>
        <row r="71">
          <cell r="A71">
            <v>42370</v>
          </cell>
          <cell r="F71">
            <v>0.34580581583309344</v>
          </cell>
          <cell r="G71">
            <v>1.5023371574954592E-2</v>
          </cell>
        </row>
        <row r="72">
          <cell r="A72">
            <v>42736</v>
          </cell>
          <cell r="F72">
            <v>0.3512257298729024</v>
          </cell>
          <cell r="G72">
            <v>1.5673287699779381E-2</v>
          </cell>
        </row>
        <row r="73">
          <cell r="A73">
            <v>43101</v>
          </cell>
          <cell r="F73">
            <v>0.35640451830596626</v>
          </cell>
          <cell r="G73">
            <v>1.4744900480206491E-2</v>
          </cell>
        </row>
        <row r="74">
          <cell r="A74">
            <v>43466</v>
          </cell>
          <cell r="F74">
            <v>0.35969197340906855</v>
          </cell>
          <cell r="G74">
            <v>9.2239433964753648E-3</v>
          </cell>
        </row>
        <row r="75">
          <cell r="A75">
            <v>43831</v>
          </cell>
          <cell r="F75">
            <v>0.38047372522505901</v>
          </cell>
          <cell r="G75">
            <v>5.7776523671146496E-2</v>
          </cell>
        </row>
        <row r="76">
          <cell r="A76">
            <v>44197</v>
          </cell>
          <cell r="F76">
            <v>0.40148798872218705</v>
          </cell>
          <cell r="G76">
            <v>5.5231838899512997E-2</v>
          </cell>
        </row>
        <row r="77">
          <cell r="A77">
            <v>44562</v>
          </cell>
          <cell r="F77">
            <v>0.41583441938823301</v>
          </cell>
          <cell r="G77">
            <v>3.5733150353280063E-2</v>
          </cell>
        </row>
        <row r="78">
          <cell r="A78">
            <v>44927</v>
          </cell>
          <cell r="F78">
            <v>0.40666344184268827</v>
          </cell>
          <cell r="G78">
            <v>-2.2054397418657445E-2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red.stlouisfed.org/series/CLF16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1660-9483-4C6B-B503-6475A94BEAD9}">
  <dimension ref="A1:G79"/>
  <sheetViews>
    <sheetView tabSelected="1" workbookViewId="0">
      <selection activeCell="I25" sqref="I25"/>
    </sheetView>
  </sheetViews>
  <sheetFormatPr defaultRowHeight="14.5" x14ac:dyDescent="0.35"/>
  <sheetData>
    <row r="1" spans="1:7" x14ac:dyDescent="0.35">
      <c r="A1" t="s">
        <v>0</v>
      </c>
      <c r="B1" s="1" t="s">
        <v>1</v>
      </c>
    </row>
    <row r="2" spans="1:7" x14ac:dyDescent="0.35"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7" x14ac:dyDescent="0.35">
      <c r="A3" s="2">
        <v>17533</v>
      </c>
      <c r="B3">
        <v>61169</v>
      </c>
      <c r="C3">
        <v>562.20000000000005</v>
      </c>
      <c r="D3" s="3">
        <v>24.05</v>
      </c>
      <c r="E3">
        <f>C3*($D$78/D3)</f>
        <v>7217.2454220374229</v>
      </c>
      <c r="F3">
        <f>E3/B3</f>
        <v>0.11798861223883704</v>
      </c>
    </row>
    <row r="4" spans="1:7" x14ac:dyDescent="0.35">
      <c r="A4" s="2">
        <v>17899</v>
      </c>
      <c r="B4">
        <v>61908</v>
      </c>
      <c r="C4">
        <v>581.1</v>
      </c>
      <c r="D4" s="3">
        <v>23.61</v>
      </c>
      <c r="E4">
        <f t="shared" ref="E4:E67" si="0">C4*($D$78/D4)</f>
        <v>7598.8977636594673</v>
      </c>
      <c r="F4">
        <f t="shared" ref="F4:F67" si="1">E4/B4</f>
        <v>0.12274500490501175</v>
      </c>
      <c r="G4">
        <f>F4/F3-1</f>
        <v>4.0312302822467672E-2</v>
      </c>
    </row>
    <row r="5" spans="1:7" x14ac:dyDescent="0.35">
      <c r="A5" s="2">
        <v>18264</v>
      </c>
      <c r="B5">
        <v>62068</v>
      </c>
      <c r="C5">
        <v>655.8</v>
      </c>
      <c r="D5" s="3">
        <v>24.98</v>
      </c>
      <c r="E5">
        <f t="shared" si="0"/>
        <v>8105.4044675740597</v>
      </c>
      <c r="F5">
        <f t="shared" si="1"/>
        <v>0.13058910336363438</v>
      </c>
      <c r="G5">
        <f t="shared" ref="G5:G68" si="2">F5/F4-1</f>
        <v>6.3905642960321751E-2</v>
      </c>
    </row>
    <row r="6" spans="1:7" x14ac:dyDescent="0.35">
      <c r="A6" s="2">
        <v>18629</v>
      </c>
      <c r="B6">
        <v>62457</v>
      </c>
      <c r="C6">
        <v>713.9</v>
      </c>
      <c r="D6" s="3">
        <v>26.47</v>
      </c>
      <c r="E6">
        <f t="shared" si="0"/>
        <v>8326.8195617680394</v>
      </c>
      <c r="F6">
        <f t="shared" si="1"/>
        <v>0.13332083772464318</v>
      </c>
      <c r="G6">
        <f t="shared" si="2"/>
        <v>2.0918547494748418E-2</v>
      </c>
    </row>
    <row r="7" spans="1:7" x14ac:dyDescent="0.35">
      <c r="A7" s="2">
        <v>18994</v>
      </c>
      <c r="B7">
        <v>62621</v>
      </c>
      <c r="C7">
        <v>751.9</v>
      </c>
      <c r="D7" s="3">
        <v>26.71</v>
      </c>
      <c r="E7">
        <f t="shared" si="0"/>
        <v>8691.2433470610267</v>
      </c>
      <c r="F7">
        <f t="shared" si="1"/>
        <v>0.13879119380177618</v>
      </c>
      <c r="G7">
        <f t="shared" si="2"/>
        <v>4.1031515931750473E-2</v>
      </c>
    </row>
    <row r="8" spans="1:7" x14ac:dyDescent="0.35">
      <c r="A8" s="2">
        <v>19360</v>
      </c>
      <c r="B8">
        <v>62795</v>
      </c>
      <c r="C8">
        <v>783.3</v>
      </c>
      <c r="D8" s="3">
        <v>26.87</v>
      </c>
      <c r="E8">
        <f t="shared" si="0"/>
        <v>9000.2831633792339</v>
      </c>
      <c r="F8">
        <f t="shared" si="1"/>
        <v>0.14332802234858244</v>
      </c>
      <c r="G8">
        <f t="shared" si="2"/>
        <v>3.2688158538976442E-2</v>
      </c>
    </row>
    <row r="9" spans="1:7" x14ac:dyDescent="0.35">
      <c r="A9" s="2">
        <v>19725</v>
      </c>
      <c r="B9">
        <v>63312</v>
      </c>
      <c r="C9">
        <v>815.2</v>
      </c>
      <c r="D9" s="3">
        <v>26.77</v>
      </c>
      <c r="E9">
        <f t="shared" si="0"/>
        <v>9401.8109226746365</v>
      </c>
      <c r="F9">
        <f t="shared" si="1"/>
        <v>0.14849966708798706</v>
      </c>
      <c r="G9">
        <f t="shared" si="2"/>
        <v>3.6082579349534738E-2</v>
      </c>
    </row>
    <row r="10" spans="1:7" x14ac:dyDescent="0.35">
      <c r="A10" s="2">
        <v>20090</v>
      </c>
      <c r="B10">
        <v>66445</v>
      </c>
      <c r="C10">
        <v>888.8</v>
      </c>
      <c r="D10" s="3">
        <v>26.87</v>
      </c>
      <c r="E10">
        <f t="shared" si="0"/>
        <v>10212.500543356904</v>
      </c>
      <c r="F10">
        <f t="shared" si="1"/>
        <v>0.15369855584854999</v>
      </c>
      <c r="G10">
        <f t="shared" si="2"/>
        <v>3.5009430408234898E-2</v>
      </c>
    </row>
    <row r="11" spans="1:7" x14ac:dyDescent="0.35">
      <c r="A11" s="2">
        <v>20455</v>
      </c>
      <c r="B11">
        <v>66700</v>
      </c>
      <c r="C11">
        <v>958.5</v>
      </c>
      <c r="D11" s="3">
        <v>27.63</v>
      </c>
      <c r="E11">
        <f t="shared" si="0"/>
        <v>10710.430944625408</v>
      </c>
      <c r="F11">
        <f t="shared" si="1"/>
        <v>0.16057617608134045</v>
      </c>
      <c r="G11">
        <f t="shared" si="2"/>
        <v>4.4747461645426645E-2</v>
      </c>
    </row>
    <row r="12" spans="1:7" x14ac:dyDescent="0.35">
      <c r="A12" s="2">
        <v>20821</v>
      </c>
      <c r="B12">
        <v>67398</v>
      </c>
      <c r="C12">
        <v>1008.9</v>
      </c>
      <c r="D12" s="3">
        <v>28.47</v>
      </c>
      <c r="E12">
        <f t="shared" si="0"/>
        <v>10940.983624868282</v>
      </c>
      <c r="F12">
        <f t="shared" si="1"/>
        <v>0.16233395093130779</v>
      </c>
      <c r="G12">
        <f t="shared" si="2"/>
        <v>1.094667274351413E-2</v>
      </c>
    </row>
    <row r="13" spans="1:7" x14ac:dyDescent="0.35">
      <c r="A13" s="2">
        <v>21186</v>
      </c>
      <c r="B13">
        <v>67740</v>
      </c>
      <c r="C13">
        <v>1034</v>
      </c>
      <c r="D13" s="3">
        <v>28.97</v>
      </c>
      <c r="E13">
        <f t="shared" si="0"/>
        <v>11019.64887814981</v>
      </c>
      <c r="F13">
        <f t="shared" si="1"/>
        <v>0.16267565512473886</v>
      </c>
      <c r="G13">
        <f t="shared" si="2"/>
        <v>2.1049459553637018E-3</v>
      </c>
    </row>
    <row r="14" spans="1:7" x14ac:dyDescent="0.35">
      <c r="A14" s="2">
        <v>21551</v>
      </c>
      <c r="B14">
        <v>68994</v>
      </c>
      <c r="C14">
        <v>1078.0999999999999</v>
      </c>
      <c r="D14" s="3">
        <v>29.41</v>
      </c>
      <c r="E14">
        <f t="shared" si="0"/>
        <v>11317.740571234275</v>
      </c>
      <c r="F14">
        <f t="shared" si="1"/>
        <v>0.16403948997353793</v>
      </c>
      <c r="G14">
        <f t="shared" si="2"/>
        <v>8.3837673667475077E-3</v>
      </c>
    </row>
    <row r="15" spans="1:7" x14ac:dyDescent="0.35">
      <c r="A15" s="2">
        <v>21916</v>
      </c>
      <c r="B15">
        <v>70395</v>
      </c>
      <c r="C15">
        <v>1111</v>
      </c>
      <c r="D15" s="3">
        <v>29.81</v>
      </c>
      <c r="E15">
        <f t="shared" si="0"/>
        <v>11506.620664206645</v>
      </c>
      <c r="F15">
        <f t="shared" si="1"/>
        <v>0.16345792548059726</v>
      </c>
      <c r="G15">
        <f t="shared" si="2"/>
        <v>-3.5452712821435473E-3</v>
      </c>
    </row>
    <row r="16" spans="1:7" x14ac:dyDescent="0.35">
      <c r="A16" s="2">
        <v>22282</v>
      </c>
      <c r="B16">
        <v>70077</v>
      </c>
      <c r="C16">
        <v>1147.5999999999999</v>
      </c>
      <c r="D16" s="3">
        <v>30.01</v>
      </c>
      <c r="E16">
        <f t="shared" si="0"/>
        <v>11806.475148283906</v>
      </c>
      <c r="F16">
        <f t="shared" si="1"/>
        <v>0.16847860422512245</v>
      </c>
      <c r="G16">
        <f t="shared" si="2"/>
        <v>3.0715419455884074E-2</v>
      </c>
    </row>
    <row r="17" spans="1:7" x14ac:dyDescent="0.35">
      <c r="A17" s="2">
        <v>22647</v>
      </c>
      <c r="B17">
        <v>70854</v>
      </c>
      <c r="C17">
        <v>1190.4000000000001</v>
      </c>
      <c r="D17" s="3">
        <v>30.38</v>
      </c>
      <c r="E17">
        <f t="shared" si="0"/>
        <v>12097.645714285718</v>
      </c>
      <c r="F17">
        <f t="shared" si="1"/>
        <v>0.17074047639209808</v>
      </c>
      <c r="G17">
        <f t="shared" si="2"/>
        <v>1.342527840480745E-2</v>
      </c>
    </row>
    <row r="18" spans="1:7" x14ac:dyDescent="0.35">
      <c r="A18" s="2">
        <v>23012</v>
      </c>
      <c r="B18">
        <v>72188</v>
      </c>
      <c r="C18">
        <v>1228.7</v>
      </c>
      <c r="D18" s="3">
        <v>30.88</v>
      </c>
      <c r="E18">
        <f t="shared" si="0"/>
        <v>12284.692208549224</v>
      </c>
      <c r="F18">
        <f t="shared" si="1"/>
        <v>0.17017637569331778</v>
      </c>
      <c r="G18">
        <f t="shared" si="2"/>
        <v>-3.3038486872021267E-3</v>
      </c>
    </row>
    <row r="19" spans="1:7" x14ac:dyDescent="0.35">
      <c r="A19" s="2">
        <v>23377</v>
      </c>
      <c r="B19">
        <v>73465</v>
      </c>
      <c r="C19">
        <v>1313.9</v>
      </c>
      <c r="D19" s="3">
        <v>31.25</v>
      </c>
      <c r="E19">
        <f t="shared" si="0"/>
        <v>12980.995641600002</v>
      </c>
      <c r="F19">
        <f t="shared" si="1"/>
        <v>0.17669632670795621</v>
      </c>
      <c r="G19">
        <f t="shared" si="2"/>
        <v>3.8312903233926665E-2</v>
      </c>
    </row>
    <row r="20" spans="1:7" x14ac:dyDescent="0.35">
      <c r="A20" s="2">
        <v>23743</v>
      </c>
      <c r="B20">
        <v>75093</v>
      </c>
      <c r="C20">
        <v>1402.9</v>
      </c>
      <c r="D20" s="3">
        <v>31.85</v>
      </c>
      <c r="E20">
        <f t="shared" si="0"/>
        <v>13599.188439560441</v>
      </c>
      <c r="F20">
        <f t="shared" si="1"/>
        <v>0.18109795106814805</v>
      </c>
      <c r="G20">
        <f t="shared" si="2"/>
        <v>2.49106726902526E-2</v>
      </c>
    </row>
    <row r="21" spans="1:7" x14ac:dyDescent="0.35">
      <c r="A21" s="2">
        <v>24108</v>
      </c>
      <c r="B21">
        <v>76641</v>
      </c>
      <c r="C21">
        <v>1522.1</v>
      </c>
      <c r="D21" s="3">
        <v>32.92</v>
      </c>
      <c r="E21">
        <f t="shared" si="0"/>
        <v>14275.097150668287</v>
      </c>
      <c r="F21">
        <f t="shared" si="1"/>
        <v>0.1862592757227631</v>
      </c>
      <c r="G21">
        <f t="shared" si="2"/>
        <v>2.8500182493355952E-2</v>
      </c>
    </row>
    <row r="22" spans="1:7" x14ac:dyDescent="0.35">
      <c r="A22" s="2">
        <v>24473</v>
      </c>
      <c r="B22">
        <v>78491</v>
      </c>
      <c r="C22">
        <v>1636.5</v>
      </c>
      <c r="D22" s="3">
        <v>34</v>
      </c>
      <c r="E22">
        <f t="shared" si="0"/>
        <v>14860.478911764707</v>
      </c>
      <c r="F22">
        <f t="shared" si="1"/>
        <v>0.1893271701438981</v>
      </c>
      <c r="G22">
        <f t="shared" si="2"/>
        <v>1.6471096052694811E-2</v>
      </c>
    </row>
    <row r="23" spans="1:7" x14ac:dyDescent="0.35">
      <c r="A23" s="2">
        <v>24838</v>
      </c>
      <c r="B23">
        <v>79463</v>
      </c>
      <c r="C23">
        <v>1804.7</v>
      </c>
      <c r="D23" s="3">
        <v>35.6</v>
      </c>
      <c r="E23">
        <f t="shared" si="0"/>
        <v>15651.311443820225</v>
      </c>
      <c r="F23">
        <f t="shared" si="1"/>
        <v>0.19696351061274084</v>
      </c>
      <c r="G23">
        <f t="shared" si="2"/>
        <v>4.0334097124246515E-2</v>
      </c>
    </row>
    <row r="24" spans="1:7" x14ac:dyDescent="0.35">
      <c r="A24" s="2">
        <v>25204</v>
      </c>
      <c r="B24">
        <v>81624</v>
      </c>
      <c r="C24">
        <v>1962.9</v>
      </c>
      <c r="D24" s="3">
        <v>37.700000000000003</v>
      </c>
      <c r="E24">
        <f t="shared" si="0"/>
        <v>16075.057607427056</v>
      </c>
      <c r="F24">
        <f t="shared" si="1"/>
        <v>0.19694033136610625</v>
      </c>
      <c r="G24">
        <f t="shared" si="2"/>
        <v>-1.1768294829062054E-4</v>
      </c>
    </row>
    <row r="25" spans="1:7" x14ac:dyDescent="0.35">
      <c r="A25" s="2">
        <v>25569</v>
      </c>
      <c r="B25">
        <v>83670</v>
      </c>
      <c r="C25">
        <v>2121</v>
      </c>
      <c r="D25" s="3">
        <v>39.799999999999997</v>
      </c>
      <c r="E25">
        <f t="shared" si="0"/>
        <v>16453.311105527639</v>
      </c>
      <c r="F25">
        <f t="shared" si="1"/>
        <v>0.1966452863096407</v>
      </c>
      <c r="G25">
        <f t="shared" si="2"/>
        <v>-1.4981444096235919E-3</v>
      </c>
    </row>
    <row r="26" spans="1:7" x14ac:dyDescent="0.35">
      <c r="A26" s="2">
        <v>25934</v>
      </c>
      <c r="B26">
        <v>85625</v>
      </c>
      <c r="C26">
        <v>2352.6999999999998</v>
      </c>
      <c r="D26" s="3">
        <v>41.1</v>
      </c>
      <c r="E26">
        <f t="shared" si="0"/>
        <v>17673.413708029195</v>
      </c>
      <c r="F26">
        <f t="shared" si="1"/>
        <v>0.20640483162661832</v>
      </c>
      <c r="G26">
        <f t="shared" si="2"/>
        <v>4.9630202178404081E-2</v>
      </c>
    </row>
    <row r="27" spans="1:7" x14ac:dyDescent="0.35">
      <c r="A27" s="2">
        <v>26299</v>
      </c>
      <c r="B27">
        <v>87943</v>
      </c>
      <c r="C27">
        <v>2593.9</v>
      </c>
      <c r="D27" s="3">
        <v>42.5</v>
      </c>
      <c r="E27">
        <f t="shared" si="0"/>
        <v>18843.432324705886</v>
      </c>
      <c r="F27">
        <f t="shared" si="1"/>
        <v>0.21426870046172961</v>
      </c>
      <c r="G27">
        <f t="shared" si="2"/>
        <v>3.8099247838039085E-2</v>
      </c>
    </row>
    <row r="28" spans="1:7" x14ac:dyDescent="0.35">
      <c r="A28" s="2">
        <v>26665</v>
      </c>
      <c r="B28">
        <v>90890</v>
      </c>
      <c r="C28">
        <v>2947.1</v>
      </c>
      <c r="D28" s="3">
        <v>46.3</v>
      </c>
      <c r="E28">
        <f t="shared" si="0"/>
        <v>19652.128470842334</v>
      </c>
      <c r="F28">
        <f t="shared" si="1"/>
        <v>0.21621881913128324</v>
      </c>
      <c r="G28">
        <f t="shared" si="2"/>
        <v>9.1012764129865253E-3</v>
      </c>
    </row>
    <row r="29" spans="1:7" x14ac:dyDescent="0.35">
      <c r="A29" s="2">
        <v>27030</v>
      </c>
      <c r="B29">
        <v>92780</v>
      </c>
      <c r="C29">
        <v>3468.5</v>
      </c>
      <c r="D29" s="3">
        <v>51.9</v>
      </c>
      <c r="E29">
        <f t="shared" si="0"/>
        <v>20633.364682080926</v>
      </c>
      <c r="F29">
        <f t="shared" si="1"/>
        <v>0.22239022075965645</v>
      </c>
      <c r="G29">
        <f t="shared" si="2"/>
        <v>2.8542388924185591E-2</v>
      </c>
    </row>
    <row r="30" spans="1:7" x14ac:dyDescent="0.35">
      <c r="A30" s="2">
        <v>27395</v>
      </c>
      <c r="B30">
        <v>94409</v>
      </c>
      <c r="C30">
        <v>3786.1</v>
      </c>
      <c r="D30" s="3">
        <v>55.6</v>
      </c>
      <c r="E30">
        <f t="shared" si="0"/>
        <v>21023.886442446044</v>
      </c>
      <c r="F30">
        <f t="shared" si="1"/>
        <v>0.22268943048275106</v>
      </c>
      <c r="G30">
        <f t="shared" si="2"/>
        <v>1.3454266202557186E-3</v>
      </c>
    </row>
    <row r="31" spans="1:7" x14ac:dyDescent="0.35">
      <c r="A31" s="2">
        <v>27760</v>
      </c>
      <c r="B31">
        <v>97348</v>
      </c>
      <c r="C31">
        <v>4169</v>
      </c>
      <c r="D31" s="3">
        <v>58.4</v>
      </c>
      <c r="E31">
        <f t="shared" si="0"/>
        <v>22040.160924657539</v>
      </c>
      <c r="F31">
        <f t="shared" si="1"/>
        <v>0.22640589354334489</v>
      </c>
      <c r="G31">
        <f t="shared" si="2"/>
        <v>1.6688996206677631E-2</v>
      </c>
    </row>
    <row r="32" spans="1:7" x14ac:dyDescent="0.35">
      <c r="A32" s="2">
        <v>28126</v>
      </c>
      <c r="B32">
        <v>100491</v>
      </c>
      <c r="C32">
        <v>4735.8</v>
      </c>
      <c r="D32" s="3">
        <v>62.3</v>
      </c>
      <c r="E32">
        <f t="shared" si="0"/>
        <v>23469.347730337082</v>
      </c>
      <c r="F32">
        <f t="shared" si="1"/>
        <v>0.23354676269852109</v>
      </c>
      <c r="G32">
        <f t="shared" si="2"/>
        <v>3.1540120459846221E-2</v>
      </c>
    </row>
    <row r="33" spans="1:7" x14ac:dyDescent="0.35">
      <c r="A33" s="2">
        <v>28491</v>
      </c>
      <c r="B33">
        <v>103809</v>
      </c>
      <c r="C33">
        <v>5412.7</v>
      </c>
      <c r="D33" s="3">
        <v>67.900000000000006</v>
      </c>
      <c r="E33">
        <f t="shared" si="0"/>
        <v>24611.602701030926</v>
      </c>
      <c r="F33">
        <f t="shared" si="1"/>
        <v>0.23708544250528304</v>
      </c>
      <c r="G33">
        <f t="shared" si="2"/>
        <v>1.5151911188466816E-2</v>
      </c>
    </row>
    <row r="34" spans="1:7" x14ac:dyDescent="0.35">
      <c r="A34" s="2">
        <v>28856</v>
      </c>
      <c r="B34">
        <v>106258</v>
      </c>
      <c r="C34">
        <v>6264.5</v>
      </c>
      <c r="D34" s="3">
        <v>76.900000000000006</v>
      </c>
      <c r="E34">
        <f t="shared" si="0"/>
        <v>25151.030676202859</v>
      </c>
      <c r="F34">
        <f t="shared" si="1"/>
        <v>0.2366977608857955</v>
      </c>
      <c r="G34">
        <f t="shared" si="2"/>
        <v>-1.6351979075176493E-3</v>
      </c>
    </row>
    <row r="35" spans="1:7" x14ac:dyDescent="0.35">
      <c r="A35" s="2">
        <v>29221</v>
      </c>
      <c r="B35">
        <v>107352</v>
      </c>
      <c r="C35">
        <v>7117.9</v>
      </c>
      <c r="D35" s="3">
        <v>86.4</v>
      </c>
      <c r="E35">
        <f t="shared" si="0"/>
        <v>25435.123631944443</v>
      </c>
      <c r="F35">
        <f t="shared" si="1"/>
        <v>0.23693199597533762</v>
      </c>
      <c r="G35">
        <f t="shared" si="2"/>
        <v>9.8959571339229946E-4</v>
      </c>
    </row>
    <row r="36" spans="1:7" x14ac:dyDescent="0.35">
      <c r="A36" s="2">
        <v>29587</v>
      </c>
      <c r="B36">
        <v>108912</v>
      </c>
      <c r="C36">
        <v>7860.4</v>
      </c>
      <c r="D36" s="3">
        <v>94.1</v>
      </c>
      <c r="E36">
        <f t="shared" si="0"/>
        <v>25789.964046758771</v>
      </c>
      <c r="F36">
        <f t="shared" si="1"/>
        <v>0.23679634977558736</v>
      </c>
      <c r="G36">
        <f t="shared" si="2"/>
        <v>-5.7251110890221835E-4</v>
      </c>
    </row>
    <row r="37" spans="1:7" x14ac:dyDescent="0.35">
      <c r="A37" s="2">
        <v>29952</v>
      </c>
      <c r="B37">
        <v>111083</v>
      </c>
      <c r="C37">
        <v>8297.2000000000007</v>
      </c>
      <c r="D37" s="3">
        <v>97.7</v>
      </c>
      <c r="E37">
        <f t="shared" si="0"/>
        <v>26220.001252814742</v>
      </c>
      <c r="F37">
        <f t="shared" si="1"/>
        <v>0.23603972932685238</v>
      </c>
      <c r="G37">
        <f t="shared" si="2"/>
        <v>-3.1952369597421093E-3</v>
      </c>
    </row>
    <row r="38" spans="1:7" x14ac:dyDescent="0.35">
      <c r="A38" s="2">
        <v>30317</v>
      </c>
      <c r="B38">
        <v>112327</v>
      </c>
      <c r="C38">
        <v>8599.6</v>
      </c>
      <c r="D38" s="3">
        <v>101.4</v>
      </c>
      <c r="E38">
        <f t="shared" si="0"/>
        <v>26184.001017751481</v>
      </c>
      <c r="F38">
        <f t="shared" si="1"/>
        <v>0.23310513961693521</v>
      </c>
      <c r="G38">
        <f t="shared" si="2"/>
        <v>-1.2432609197977618E-2</v>
      </c>
    </row>
    <row r="39" spans="1:7" x14ac:dyDescent="0.35">
      <c r="A39" s="2">
        <v>30682</v>
      </c>
      <c r="B39">
        <v>114581</v>
      </c>
      <c r="C39">
        <v>9112.5</v>
      </c>
      <c r="D39" s="3">
        <v>105.5</v>
      </c>
      <c r="E39">
        <f t="shared" si="0"/>
        <v>26667.407345971566</v>
      </c>
      <c r="F39">
        <f t="shared" si="1"/>
        <v>0.23273847623926799</v>
      </c>
      <c r="G39">
        <f t="shared" si="2"/>
        <v>-1.5729527811774169E-3</v>
      </c>
    </row>
    <row r="40" spans="1:7" x14ac:dyDescent="0.35">
      <c r="A40" s="2">
        <v>31048</v>
      </c>
      <c r="B40">
        <v>116354</v>
      </c>
      <c r="C40">
        <v>9619</v>
      </c>
      <c r="D40" s="3">
        <v>109.5</v>
      </c>
      <c r="E40">
        <f t="shared" si="0"/>
        <v>27121.363452054797</v>
      </c>
      <c r="F40">
        <f t="shared" si="1"/>
        <v>0.2330935202232394</v>
      </c>
      <c r="G40">
        <f t="shared" si="2"/>
        <v>1.5255061806214165E-3</v>
      </c>
    </row>
    <row r="41" spans="1:7" x14ac:dyDescent="0.35">
      <c r="A41" s="2">
        <v>31413</v>
      </c>
      <c r="B41">
        <v>118611</v>
      </c>
      <c r="C41">
        <v>10230.799999999999</v>
      </c>
      <c r="D41" s="3">
        <v>110.8</v>
      </c>
      <c r="E41">
        <f t="shared" si="0"/>
        <v>28507.921061371842</v>
      </c>
      <c r="F41">
        <f t="shared" si="1"/>
        <v>0.24034803737740887</v>
      </c>
      <c r="G41">
        <f t="shared" si="2"/>
        <v>3.1122774872598846E-2</v>
      </c>
    </row>
    <row r="42" spans="1:7" x14ac:dyDescent="0.35">
      <c r="A42" s="2">
        <v>31778</v>
      </c>
      <c r="B42">
        <v>120729</v>
      </c>
      <c r="C42">
        <v>10843.5</v>
      </c>
      <c r="D42" s="3">
        <v>115.6</v>
      </c>
      <c r="E42">
        <f t="shared" si="0"/>
        <v>28960.58717128028</v>
      </c>
      <c r="F42">
        <f t="shared" si="1"/>
        <v>0.23988094965816234</v>
      </c>
      <c r="G42">
        <f t="shared" si="2"/>
        <v>-1.9433806256261565E-3</v>
      </c>
    </row>
    <row r="43" spans="1:7" x14ac:dyDescent="0.35">
      <c r="A43" s="2">
        <v>32143</v>
      </c>
      <c r="B43">
        <v>122622</v>
      </c>
      <c r="C43">
        <v>11536.2</v>
      </c>
      <c r="D43" s="3">
        <v>120.7</v>
      </c>
      <c r="E43">
        <f t="shared" si="0"/>
        <v>29508.77763380282</v>
      </c>
      <c r="F43">
        <f t="shared" si="1"/>
        <v>0.24064831460751593</v>
      </c>
      <c r="G43">
        <f t="shared" si="2"/>
        <v>3.1989407681065618E-3</v>
      </c>
    </row>
    <row r="44" spans="1:7" x14ac:dyDescent="0.35">
      <c r="A44" s="2">
        <v>32509</v>
      </c>
      <c r="B44">
        <v>124497</v>
      </c>
      <c r="C44">
        <v>12203.1</v>
      </c>
      <c r="D44" s="3">
        <v>126.3</v>
      </c>
      <c r="E44">
        <f t="shared" si="0"/>
        <v>29830.637372921617</v>
      </c>
      <c r="F44">
        <f t="shared" si="1"/>
        <v>0.23960928675326809</v>
      </c>
      <c r="G44">
        <f t="shared" si="2"/>
        <v>-4.317619493585223E-3</v>
      </c>
    </row>
    <row r="45" spans="1:7" x14ac:dyDescent="0.35">
      <c r="A45" s="2">
        <v>32874</v>
      </c>
      <c r="B45">
        <v>126142</v>
      </c>
      <c r="C45">
        <v>12773.6</v>
      </c>
      <c r="D45" s="3">
        <v>134.19999999999999</v>
      </c>
      <c r="E45">
        <f t="shared" si="0"/>
        <v>29387.085031296581</v>
      </c>
      <c r="F45">
        <f t="shared" si="1"/>
        <v>0.23296828202578507</v>
      </c>
      <c r="G45">
        <f t="shared" si="2"/>
        <v>-2.7715973856728859E-2</v>
      </c>
    </row>
    <row r="46" spans="1:7" x14ac:dyDescent="0.35">
      <c r="A46" s="2">
        <v>33239</v>
      </c>
      <c r="B46">
        <v>126664</v>
      </c>
      <c r="C46">
        <v>13058.8</v>
      </c>
      <c r="D46" s="3">
        <v>138.19999999999999</v>
      </c>
      <c r="E46">
        <f t="shared" si="0"/>
        <v>29173.661574529669</v>
      </c>
      <c r="F46">
        <f t="shared" si="1"/>
        <v>0.23032322976165026</v>
      </c>
      <c r="G46">
        <f t="shared" si="2"/>
        <v>-1.1353701204020794E-2</v>
      </c>
    </row>
    <row r="47" spans="1:7" x14ac:dyDescent="0.35">
      <c r="A47" s="2">
        <v>33604</v>
      </c>
      <c r="B47">
        <v>128554</v>
      </c>
      <c r="C47">
        <v>13609.2</v>
      </c>
      <c r="D47" s="3">
        <v>142.30000000000001</v>
      </c>
      <c r="E47">
        <f t="shared" si="0"/>
        <v>29527.277768095577</v>
      </c>
      <c r="F47">
        <f t="shared" si="1"/>
        <v>0.22968774031220793</v>
      </c>
      <c r="G47">
        <f t="shared" si="2"/>
        <v>-2.7591200857158826E-3</v>
      </c>
    </row>
    <row r="48" spans="1:7" x14ac:dyDescent="0.35">
      <c r="A48" s="2">
        <v>33970</v>
      </c>
      <c r="B48">
        <v>129941</v>
      </c>
      <c r="C48">
        <v>14321.8</v>
      </c>
      <c r="D48" s="3">
        <v>146.30000000000001</v>
      </c>
      <c r="E48">
        <f t="shared" si="0"/>
        <v>30223.794775119615</v>
      </c>
      <c r="F48">
        <f t="shared" si="1"/>
        <v>0.23259629197189197</v>
      </c>
      <c r="G48">
        <f t="shared" si="2"/>
        <v>1.2663068806940014E-2</v>
      </c>
    </row>
    <row r="49" spans="1:7" x14ac:dyDescent="0.35">
      <c r="A49" s="2">
        <v>34335</v>
      </c>
      <c r="B49">
        <v>131951</v>
      </c>
      <c r="C49">
        <v>15203</v>
      </c>
      <c r="D49" s="3">
        <v>150.1</v>
      </c>
      <c r="E49">
        <f t="shared" si="0"/>
        <v>31271.183384410393</v>
      </c>
      <c r="F49">
        <f t="shared" si="1"/>
        <v>0.23699087831399832</v>
      </c>
      <c r="G49">
        <f t="shared" si="2"/>
        <v>1.8893621668901739E-2</v>
      </c>
    </row>
    <row r="50" spans="1:7" x14ac:dyDescent="0.35">
      <c r="A50" s="2">
        <v>34700</v>
      </c>
      <c r="B50">
        <v>132511</v>
      </c>
      <c r="C50">
        <v>15951.5</v>
      </c>
      <c r="D50" s="3">
        <v>153.9</v>
      </c>
      <c r="E50">
        <f t="shared" si="0"/>
        <v>32000.636861598439</v>
      </c>
      <c r="F50">
        <f t="shared" si="1"/>
        <v>0.24149419189047278</v>
      </c>
      <c r="G50">
        <f t="shared" si="2"/>
        <v>1.9002054460964812E-2</v>
      </c>
    </row>
    <row r="51" spans="1:7" x14ac:dyDescent="0.35">
      <c r="A51" s="2">
        <v>35065</v>
      </c>
      <c r="B51">
        <v>135113</v>
      </c>
      <c r="C51">
        <v>16767.599999999999</v>
      </c>
      <c r="D51" s="3">
        <v>159.1</v>
      </c>
      <c r="E51">
        <f t="shared" si="0"/>
        <v>32538.418348208674</v>
      </c>
      <c r="F51">
        <f t="shared" si="1"/>
        <v>0.2408237427057994</v>
      </c>
      <c r="G51">
        <f t="shared" si="2"/>
        <v>-2.7762538693992811E-3</v>
      </c>
    </row>
    <row r="52" spans="1:7" x14ac:dyDescent="0.35">
      <c r="A52" s="2">
        <v>35431</v>
      </c>
      <c r="B52">
        <v>137155</v>
      </c>
      <c r="C52">
        <v>17703.400000000001</v>
      </c>
      <c r="D52" s="3">
        <v>161.80000000000001</v>
      </c>
      <c r="E52">
        <f t="shared" si="0"/>
        <v>33781.107063040792</v>
      </c>
      <c r="F52">
        <f t="shared" si="1"/>
        <v>0.24629876463155403</v>
      </c>
      <c r="G52">
        <f t="shared" si="2"/>
        <v>2.2734560406044269E-2</v>
      </c>
    </row>
    <row r="53" spans="1:7" x14ac:dyDescent="0.35">
      <c r="A53" s="2">
        <v>35796</v>
      </c>
      <c r="B53">
        <v>138634</v>
      </c>
      <c r="C53">
        <v>18775.400000000001</v>
      </c>
      <c r="D53" s="3">
        <v>164.4</v>
      </c>
      <c r="E53">
        <f t="shared" si="0"/>
        <v>35260.064153284678</v>
      </c>
      <c r="F53">
        <f t="shared" si="1"/>
        <v>0.25433922524982816</v>
      </c>
      <c r="G53">
        <f t="shared" si="2"/>
        <v>3.2645152038428105E-2</v>
      </c>
    </row>
    <row r="54" spans="1:7" x14ac:dyDescent="0.35">
      <c r="A54" s="2">
        <v>36161</v>
      </c>
      <c r="B54">
        <v>140177</v>
      </c>
      <c r="C54">
        <v>20026.900000000001</v>
      </c>
      <c r="D54" s="3">
        <v>168.8</v>
      </c>
      <c r="E54">
        <f t="shared" si="0"/>
        <v>36630.006870853082</v>
      </c>
      <c r="F54">
        <f t="shared" si="1"/>
        <v>0.26131253251855213</v>
      </c>
      <c r="G54">
        <f t="shared" si="2"/>
        <v>2.7417348864982705E-2</v>
      </c>
    </row>
    <row r="55" spans="1:7" x14ac:dyDescent="0.35">
      <c r="A55" s="2">
        <v>36526</v>
      </c>
      <c r="B55">
        <v>143248</v>
      </c>
      <c r="C55">
        <v>21418</v>
      </c>
      <c r="D55" s="3">
        <v>174.6</v>
      </c>
      <c r="E55">
        <f t="shared" si="0"/>
        <v>37873.05931271478</v>
      </c>
      <c r="F55">
        <f t="shared" si="1"/>
        <v>0.26438804948561084</v>
      </c>
      <c r="G55">
        <f t="shared" si="2"/>
        <v>1.176949661547666E-2</v>
      </c>
    </row>
    <row r="56" spans="1:7" x14ac:dyDescent="0.35">
      <c r="A56" s="2">
        <v>36892</v>
      </c>
      <c r="B56">
        <v>144305</v>
      </c>
      <c r="C56">
        <v>22706.400000000001</v>
      </c>
      <c r="D56" s="3">
        <v>177.4</v>
      </c>
      <c r="E56">
        <f t="shared" si="0"/>
        <v>39517.583702367534</v>
      </c>
      <c r="F56">
        <f t="shared" si="1"/>
        <v>0.27384764008431817</v>
      </c>
      <c r="G56">
        <f t="shared" si="2"/>
        <v>3.577919129518814E-2</v>
      </c>
    </row>
    <row r="57" spans="1:7" x14ac:dyDescent="0.35">
      <c r="A57" s="2">
        <v>37257</v>
      </c>
      <c r="B57">
        <v>145066</v>
      </c>
      <c r="C57">
        <v>23838.7</v>
      </c>
      <c r="D57" s="3">
        <v>181.8</v>
      </c>
      <c r="E57">
        <f t="shared" si="0"/>
        <v>40484.091943894397</v>
      </c>
      <c r="F57">
        <f t="shared" si="1"/>
        <v>0.27907360748827703</v>
      </c>
      <c r="G57">
        <f t="shared" si="2"/>
        <v>1.9083485263374111E-2</v>
      </c>
    </row>
    <row r="58" spans="1:7" x14ac:dyDescent="0.35">
      <c r="A58" s="2">
        <v>37622</v>
      </c>
      <c r="B58">
        <v>146729</v>
      </c>
      <c r="C58">
        <v>25199.200000000001</v>
      </c>
      <c r="D58" s="3">
        <v>185.5</v>
      </c>
      <c r="E58">
        <f t="shared" si="0"/>
        <v>41940.977932075475</v>
      </c>
      <c r="F58">
        <f t="shared" si="1"/>
        <v>0.28583973128744472</v>
      </c>
      <c r="G58">
        <f t="shared" si="2"/>
        <v>2.4244943332564661E-2</v>
      </c>
    </row>
    <row r="59" spans="1:7" x14ac:dyDescent="0.35">
      <c r="A59" s="2">
        <v>37987</v>
      </c>
      <c r="B59">
        <v>148059</v>
      </c>
      <c r="C59">
        <v>27736.799999999999</v>
      </c>
      <c r="D59" s="3">
        <v>191.7</v>
      </c>
      <c r="E59">
        <f t="shared" si="0"/>
        <v>44671.44030046949</v>
      </c>
      <c r="F59">
        <f t="shared" si="1"/>
        <v>0.30171377829425761</v>
      </c>
      <c r="G59">
        <f t="shared" si="2"/>
        <v>5.5534781450132575E-2</v>
      </c>
    </row>
    <row r="60" spans="1:7" x14ac:dyDescent="0.35">
      <c r="A60" s="2">
        <v>38353</v>
      </c>
      <c r="B60">
        <v>150030</v>
      </c>
      <c r="C60">
        <v>30579.8</v>
      </c>
      <c r="D60" s="3">
        <v>198.1</v>
      </c>
      <c r="E60">
        <f t="shared" si="0"/>
        <v>47659.104551236756</v>
      </c>
      <c r="F60">
        <f t="shared" si="1"/>
        <v>0.31766383090872996</v>
      </c>
      <c r="G60">
        <f t="shared" si="2"/>
        <v>5.2864846625984896E-2</v>
      </c>
    </row>
    <row r="61" spans="1:7" x14ac:dyDescent="0.35">
      <c r="A61" s="2">
        <v>38718</v>
      </c>
      <c r="B61">
        <v>152732</v>
      </c>
      <c r="C61">
        <v>32899.199999999997</v>
      </c>
      <c r="D61" s="3">
        <v>203.1</v>
      </c>
      <c r="E61">
        <f t="shared" si="0"/>
        <v>50011.643556868541</v>
      </c>
      <c r="F61">
        <f t="shared" si="1"/>
        <v>0.32744705468970836</v>
      </c>
      <c r="G61">
        <f t="shared" si="2"/>
        <v>3.0797411694595045E-2</v>
      </c>
    </row>
    <row r="62" spans="1:7" x14ac:dyDescent="0.35">
      <c r="A62" s="2">
        <v>39083</v>
      </c>
      <c r="B62">
        <v>153918</v>
      </c>
      <c r="C62">
        <v>34054.800000000003</v>
      </c>
      <c r="D62" s="3">
        <v>211.44499999999999</v>
      </c>
      <c r="E62">
        <f t="shared" si="0"/>
        <v>49725.210156778368</v>
      </c>
      <c r="F62">
        <f t="shared" si="1"/>
        <v>0.32306299560011414</v>
      </c>
      <c r="G62">
        <f t="shared" si="2"/>
        <v>-1.3388604437894802E-2</v>
      </c>
    </row>
    <row r="63" spans="1:7" x14ac:dyDescent="0.35">
      <c r="A63" s="2">
        <v>39448</v>
      </c>
      <c r="B63">
        <v>154655</v>
      </c>
      <c r="C63">
        <v>34883.699999999997</v>
      </c>
      <c r="D63" s="3">
        <v>211.398</v>
      </c>
      <c r="E63">
        <f t="shared" si="0"/>
        <v>50946.855246501858</v>
      </c>
      <c r="F63">
        <f t="shared" si="1"/>
        <v>0.32942261967929815</v>
      </c>
      <c r="G63">
        <f t="shared" si="2"/>
        <v>1.9685399336344611E-2</v>
      </c>
    </row>
    <row r="64" spans="1:7" x14ac:dyDescent="0.35">
      <c r="A64" s="2">
        <v>39814</v>
      </c>
      <c r="B64">
        <v>153111</v>
      </c>
      <c r="C64">
        <v>33991.800000000003</v>
      </c>
      <c r="D64" s="3">
        <v>217.34700000000001</v>
      </c>
      <c r="E64">
        <f t="shared" si="0"/>
        <v>48285.44362517081</v>
      </c>
      <c r="F64">
        <f t="shared" si="1"/>
        <v>0.31536234251732931</v>
      </c>
      <c r="G64">
        <f t="shared" si="2"/>
        <v>-4.2681577772822332E-2</v>
      </c>
    </row>
    <row r="65" spans="1:7" x14ac:dyDescent="0.35">
      <c r="A65" s="2">
        <v>40179</v>
      </c>
      <c r="B65">
        <v>153650</v>
      </c>
      <c r="C65">
        <v>34464.699999999997</v>
      </c>
      <c r="D65" s="3">
        <v>220.47200000000001</v>
      </c>
      <c r="E65">
        <f t="shared" si="0"/>
        <v>48263.273374396747</v>
      </c>
      <c r="F65">
        <f t="shared" si="1"/>
        <v>0.31411176943961439</v>
      </c>
      <c r="G65">
        <f t="shared" si="2"/>
        <v>-3.9655117593699885E-3</v>
      </c>
    </row>
    <row r="66" spans="1:7" x14ac:dyDescent="0.35">
      <c r="A66" s="2">
        <v>40544</v>
      </c>
      <c r="B66">
        <v>153995</v>
      </c>
      <c r="C66">
        <v>35442.1</v>
      </c>
      <c r="D66" s="3">
        <v>227.22300000000001</v>
      </c>
      <c r="E66">
        <f t="shared" si="0"/>
        <v>48157.382123288575</v>
      </c>
      <c r="F66">
        <f t="shared" si="1"/>
        <v>0.31272042678845791</v>
      </c>
      <c r="G66">
        <f t="shared" si="2"/>
        <v>-4.4294508723397019E-3</v>
      </c>
    </row>
    <row r="67" spans="1:7" x14ac:dyDescent="0.35">
      <c r="A67" s="2">
        <v>40909</v>
      </c>
      <c r="B67">
        <v>155628</v>
      </c>
      <c r="C67">
        <v>36554.199999999997</v>
      </c>
      <c r="D67" s="3">
        <v>231.221</v>
      </c>
      <c r="E67">
        <f t="shared" si="0"/>
        <v>48809.653173370927</v>
      </c>
      <c r="F67">
        <f t="shared" si="1"/>
        <v>0.3136302797271116</v>
      </c>
      <c r="G67">
        <f t="shared" si="2"/>
        <v>2.9094771582323098E-3</v>
      </c>
    </row>
    <row r="68" spans="1:7" x14ac:dyDescent="0.35">
      <c r="A68" s="2">
        <v>41275</v>
      </c>
      <c r="B68">
        <v>155182</v>
      </c>
      <c r="C68">
        <v>38535.4</v>
      </c>
      <c r="D68" s="3">
        <v>234.71899999999999</v>
      </c>
      <c r="E68">
        <f t="shared" ref="E68:E77" si="3">C68*($D$78/D68)</f>
        <v>50688.254750574095</v>
      </c>
      <c r="F68">
        <f t="shared" ref="F68:F78" si="4">E68/B68</f>
        <v>0.32663746278933187</v>
      </c>
      <c r="G68">
        <f t="shared" si="2"/>
        <v>4.1472982371274059E-2</v>
      </c>
    </row>
    <row r="69" spans="1:7" x14ac:dyDescent="0.35">
      <c r="A69" s="2">
        <v>41640</v>
      </c>
      <c r="B69">
        <v>156332</v>
      </c>
      <c r="C69">
        <v>40336</v>
      </c>
      <c r="D69" s="3">
        <v>236.25200000000001</v>
      </c>
      <c r="E69">
        <f t="shared" si="3"/>
        <v>52712.431268306726</v>
      </c>
      <c r="F69">
        <f t="shared" si="4"/>
        <v>0.33718260668517469</v>
      </c>
      <c r="G69">
        <f t="shared" ref="G69:G78" si="5">F69/F68-1</f>
        <v>3.2283938914392074E-2</v>
      </c>
    </row>
    <row r="70" spans="1:7" x14ac:dyDescent="0.35">
      <c r="A70" s="2">
        <v>42005</v>
      </c>
      <c r="B70">
        <v>158035</v>
      </c>
      <c r="C70">
        <v>41462.400000000001</v>
      </c>
      <c r="D70" s="3">
        <v>237.761</v>
      </c>
      <c r="E70">
        <f t="shared" si="3"/>
        <v>53840.555435079776</v>
      </c>
      <c r="F70">
        <f t="shared" si="4"/>
        <v>0.3406875403238509</v>
      </c>
      <c r="G70">
        <f t="shared" si="5"/>
        <v>1.0394764051245176E-2</v>
      </c>
    </row>
    <row r="71" spans="1:7" x14ac:dyDescent="0.35">
      <c r="A71" s="2">
        <v>42370</v>
      </c>
      <c r="B71">
        <v>159678</v>
      </c>
      <c r="C71">
        <v>43394.9</v>
      </c>
      <c r="D71" s="3">
        <v>242.637</v>
      </c>
      <c r="E71">
        <f t="shared" si="3"/>
        <v>55217.581060596698</v>
      </c>
      <c r="F71">
        <f t="shared" si="4"/>
        <v>0.34580581583309344</v>
      </c>
      <c r="G71">
        <f t="shared" si="5"/>
        <v>1.5023371574954592E-2</v>
      </c>
    </row>
    <row r="72" spans="1:7" x14ac:dyDescent="0.35">
      <c r="A72" s="2">
        <v>42736</v>
      </c>
      <c r="B72">
        <v>160535</v>
      </c>
      <c r="C72">
        <v>45255.4</v>
      </c>
      <c r="D72" s="3">
        <v>247.80500000000001</v>
      </c>
      <c r="E72">
        <f t="shared" si="3"/>
        <v>56384.022545146385</v>
      </c>
      <c r="F72">
        <f t="shared" si="4"/>
        <v>0.3512257298729024</v>
      </c>
      <c r="G72">
        <f t="shared" si="5"/>
        <v>1.5673287699779381E-2</v>
      </c>
    </row>
    <row r="73" spans="1:7" x14ac:dyDescent="0.35">
      <c r="A73" s="2">
        <v>43101</v>
      </c>
      <c r="B73">
        <v>163206</v>
      </c>
      <c r="C73">
        <v>47621.599999999999</v>
      </c>
      <c r="D73" s="3">
        <v>252.767</v>
      </c>
      <c r="E73">
        <f t="shared" si="3"/>
        <v>58167.355814643524</v>
      </c>
      <c r="F73">
        <f t="shared" si="4"/>
        <v>0.35640451830596626</v>
      </c>
      <c r="G73">
        <f t="shared" si="5"/>
        <v>1.4744900480206491E-2</v>
      </c>
    </row>
    <row r="74" spans="1:7" x14ac:dyDescent="0.35">
      <c r="A74" s="2">
        <v>43466</v>
      </c>
      <c r="B74">
        <v>164699</v>
      </c>
      <c r="C74">
        <v>49625.5</v>
      </c>
      <c r="D74" s="3">
        <v>258.63</v>
      </c>
      <c r="E74">
        <f t="shared" si="3"/>
        <v>59240.908328500183</v>
      </c>
      <c r="F74">
        <f t="shared" si="4"/>
        <v>0.35969197340906855</v>
      </c>
      <c r="G74">
        <f t="shared" si="5"/>
        <v>9.2239433964753648E-3</v>
      </c>
    </row>
    <row r="75" spans="1:7" x14ac:dyDescent="0.35">
      <c r="A75" s="2">
        <v>43831</v>
      </c>
      <c r="B75">
        <v>160761</v>
      </c>
      <c r="C75">
        <v>51906.2</v>
      </c>
      <c r="D75" s="3">
        <v>262.005</v>
      </c>
      <c r="E75">
        <f t="shared" si="3"/>
        <v>61165.336540905708</v>
      </c>
      <c r="F75">
        <f t="shared" si="4"/>
        <v>0.38047372522505901</v>
      </c>
      <c r="G75">
        <f t="shared" si="5"/>
        <v>5.7776523671146496E-2</v>
      </c>
    </row>
    <row r="76" spans="1:7" x14ac:dyDescent="0.35">
      <c r="A76" s="2">
        <v>44197</v>
      </c>
      <c r="B76">
        <v>162429</v>
      </c>
      <c r="C76">
        <v>59313</v>
      </c>
      <c r="D76" s="3">
        <v>280.80799999999999</v>
      </c>
      <c r="E76">
        <f t="shared" si="3"/>
        <v>65213.292520156123</v>
      </c>
      <c r="F76">
        <f t="shared" si="4"/>
        <v>0.40148798872218705</v>
      </c>
      <c r="G76">
        <f t="shared" si="5"/>
        <v>5.5231838899512997E-2</v>
      </c>
    </row>
    <row r="77" spans="1:7" x14ac:dyDescent="0.35">
      <c r="A77" s="2">
        <v>44562</v>
      </c>
      <c r="B77">
        <v>164998</v>
      </c>
      <c r="C77">
        <v>66405.100000000006</v>
      </c>
      <c r="D77" s="3">
        <v>298.81200000000001</v>
      </c>
      <c r="E77">
        <f t="shared" si="3"/>
        <v>68611.847530219675</v>
      </c>
      <c r="F77">
        <f t="shared" si="4"/>
        <v>0.41583441938823301</v>
      </c>
      <c r="G77">
        <f t="shared" si="5"/>
        <v>3.5733150353280063E-2</v>
      </c>
    </row>
    <row r="78" spans="1:7" x14ac:dyDescent="0.35">
      <c r="A78" s="2">
        <v>44927</v>
      </c>
      <c r="B78">
        <v>167451</v>
      </c>
      <c r="C78">
        <v>68096.2</v>
      </c>
      <c r="D78" s="3">
        <v>308.74200000000002</v>
      </c>
      <c r="E78">
        <f>C78*($D$78/D78)</f>
        <v>68096.2</v>
      </c>
      <c r="F78">
        <f t="shared" si="4"/>
        <v>0.40666344184268827</v>
      </c>
      <c r="G78">
        <f t="shared" si="5"/>
        <v>-2.2054397418657445E-2</v>
      </c>
    </row>
    <row r="79" spans="1:7" x14ac:dyDescent="0.35">
      <c r="A79" s="2">
        <v>45292</v>
      </c>
      <c r="B79" t="s">
        <v>7</v>
      </c>
      <c r="D79" s="4"/>
    </row>
  </sheetData>
  <hyperlinks>
    <hyperlink ref="B1" r:id="rId1" xr:uid="{D143D5F8-94AB-42D4-A9F2-81EFA40C2F0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Deepening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Spada</dc:creator>
  <cp:lastModifiedBy>Joseph Spada</cp:lastModifiedBy>
  <dcterms:created xsi:type="dcterms:W3CDTF">2025-12-09T19:21:11Z</dcterms:created>
  <dcterms:modified xsi:type="dcterms:W3CDTF">2025-12-09T19:21:41Z</dcterms:modified>
</cp:coreProperties>
</file>